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SHRO2023v4\SHRO2023\PDF\"/>
    </mc:Choice>
  </mc:AlternateContent>
  <xr:revisionPtr revIDLastSave="0" documentId="8_{8196FB2B-8692-4536-A1FD-AA505ECF3045}" xr6:coauthVersionLast="47" xr6:coauthVersionMax="47" xr10:uidLastSave="{00000000-0000-0000-0000-000000000000}"/>
  <bookViews>
    <workbookView xWindow="-120" yWindow="-120" windowWidth="29040" windowHeight="15720" xr2:uid="{6A669222-1F03-4EDA-969E-586505F0DB4E}"/>
  </bookViews>
  <sheets>
    <sheet name="Supply Request" sheetId="3" r:id="rId1"/>
    <sheet name="Catalog" sheetId="1" r:id="rId2"/>
  </sheets>
  <definedNames>
    <definedName name="_xlnm.Print_Area" localSheetId="0">'Supply Request'!$C$2:$N$40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3" l="1"/>
  <c r="L16" i="3"/>
  <c r="L17" i="3"/>
  <c r="L18" i="3"/>
  <c r="L19" i="3"/>
  <c r="L20" i="3"/>
  <c r="L21" i="3"/>
  <c r="L22" i="3"/>
  <c r="L23" i="3"/>
  <c r="L24" i="3"/>
  <c r="L25" i="3"/>
  <c r="L26" i="3"/>
  <c r="L27" i="3"/>
  <c r="L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14" i="3"/>
  <c r="L6" i="3" l="1"/>
  <c r="D78" i="1"/>
  <c r="D77" i="1"/>
  <c r="D54" i="1"/>
  <c r="D53" i="1"/>
  <c r="D52" i="1"/>
  <c r="D51" i="1"/>
  <c r="D50" i="1"/>
  <c r="D49" i="1"/>
  <c r="D48" i="1"/>
  <c r="D47" i="1"/>
  <c r="D45" i="1"/>
  <c r="D44" i="1"/>
  <c r="D43" i="1"/>
  <c r="D42" i="1"/>
  <c r="D19" i="1"/>
  <c r="D18" i="1"/>
  <c r="L28" i="3" l="1"/>
</calcChain>
</file>

<file path=xl/sharedStrings.xml><?xml version="1.0" encoding="utf-8"?>
<sst xmlns="http://schemas.openxmlformats.org/spreadsheetml/2006/main" count="334" uniqueCount="265">
  <si>
    <t>U/M</t>
  </si>
  <si>
    <t>DESCRIPTION</t>
  </si>
  <si>
    <t>ETR #</t>
  </si>
  <si>
    <t>UNIT COST</t>
  </si>
  <si>
    <t>Vendor Part #</t>
  </si>
  <si>
    <t>PK</t>
  </si>
  <si>
    <t>076F0030</t>
  </si>
  <si>
    <t>Winooski press</t>
  </si>
  <si>
    <r>
      <t>BATTERIES, 9 VOLT</t>
    </r>
    <r>
      <rPr>
        <b/>
        <sz val="12"/>
        <color rgb="FFFF0000"/>
        <rFont val="Calibri"/>
        <family val="2"/>
        <scheme val="minor"/>
      </rPr>
      <t xml:space="preserve"> (4 PK)</t>
    </r>
  </si>
  <si>
    <t>076B0001</t>
  </si>
  <si>
    <t>DURMN16RT4Z  (WB Mason)</t>
  </si>
  <si>
    <r>
      <t xml:space="preserve">BATTERIES, AA </t>
    </r>
    <r>
      <rPr>
        <b/>
        <sz val="12"/>
        <color rgb="FFFF0000"/>
        <rFont val="Calibri"/>
        <family val="2"/>
        <scheme val="minor"/>
      </rPr>
      <t>(8 PK)</t>
    </r>
  </si>
  <si>
    <t>076B0002</t>
  </si>
  <si>
    <t>DURMN1500B8Z  (WB Mason)</t>
  </si>
  <si>
    <r>
      <t xml:space="preserve">BATTERIES, AAA </t>
    </r>
    <r>
      <rPr>
        <b/>
        <sz val="12"/>
        <color rgb="FFFF0000"/>
        <rFont val="Calibri"/>
        <family val="2"/>
        <scheme val="minor"/>
      </rPr>
      <t>(8 PK)</t>
    </r>
  </si>
  <si>
    <t>076B0003</t>
  </si>
  <si>
    <t>DURMN2400B8Z  (WB Mason)</t>
  </si>
  <si>
    <r>
      <t xml:space="preserve">BATTERIES, C </t>
    </r>
    <r>
      <rPr>
        <b/>
        <sz val="12"/>
        <color rgb="FFFF0000"/>
        <rFont val="Calibri"/>
        <family val="2"/>
        <scheme val="minor"/>
      </rPr>
      <t>(8 PK)</t>
    </r>
  </si>
  <si>
    <t>076B0004</t>
  </si>
  <si>
    <t>DURMN14RT8Z  (WB Mason)</t>
  </si>
  <si>
    <r>
      <t xml:space="preserve">BATTERIES, D </t>
    </r>
    <r>
      <rPr>
        <b/>
        <sz val="12"/>
        <color rgb="FFFF0000"/>
        <rFont val="Calibri"/>
        <family val="2"/>
        <scheme val="minor"/>
      </rPr>
      <t>(4 PK)</t>
    </r>
  </si>
  <si>
    <t>076B0005</t>
  </si>
  <si>
    <t>DURMN300R4Z  (WB Mason)</t>
  </si>
  <si>
    <t>EA</t>
  </si>
  <si>
    <t>BOOK, STENO 6"X9"</t>
  </si>
  <si>
    <t>076P0005</t>
  </si>
  <si>
    <t>UNV96920pk  (WB Mason)</t>
  </si>
  <si>
    <t>CARDS, INDEX, 3X5</t>
  </si>
  <si>
    <t>076C0003</t>
  </si>
  <si>
    <t>OXF04753 (WB MASON)</t>
  </si>
  <si>
    <t>BX</t>
  </si>
  <si>
    <t>CHALK, WHITE (12 PC PER BX)</t>
  </si>
  <si>
    <t>076C0006</t>
  </si>
  <si>
    <t>CY510320  (WB Mason)</t>
  </si>
  <si>
    <t>BO</t>
  </si>
  <si>
    <t>CLEANER, DRY ERASE SURFACE  (8oz)</t>
  </si>
  <si>
    <t>076E0008</t>
  </si>
  <si>
    <t>SAN81803  (WB Mason)</t>
  </si>
  <si>
    <t>CLIP BOARD LEGAL</t>
  </si>
  <si>
    <t>076C0012</t>
  </si>
  <si>
    <t>UNV40305  (WB Mason)</t>
  </si>
  <si>
    <t>CLIP BOARD LETTER</t>
  </si>
  <si>
    <t>076C0013</t>
  </si>
  <si>
    <t>UNV40304  (WB Mason)</t>
  </si>
  <si>
    <t>CLIPS, BINDER, LARGE  (12/BX)</t>
  </si>
  <si>
    <t>076C0014</t>
  </si>
  <si>
    <t>ACC72100  (WB Mason)</t>
  </si>
  <si>
    <t>CLIPS, BINDER, MEDIUM  (12/BX)</t>
  </si>
  <si>
    <t>076C0015</t>
  </si>
  <si>
    <t>ACC72050  (WB Mason)</t>
  </si>
  <si>
    <t>CLIPS, BINDER, SMALL  (12/BX)</t>
  </si>
  <si>
    <t>076C0016</t>
  </si>
  <si>
    <t>ACC72020  (WB Mason)</t>
  </si>
  <si>
    <t>CLIPS, PAPER</t>
  </si>
  <si>
    <t>076C0017</t>
  </si>
  <si>
    <t>UNV72210  (WB Mason)  10 bx to a Pk</t>
  </si>
  <si>
    <t>CLIPS, PAPER JUMBO</t>
  </si>
  <si>
    <t>076C0029</t>
  </si>
  <si>
    <t>UNV72220  (WB Mason)   10 bx to a Pk</t>
  </si>
  <si>
    <t>RM</t>
  </si>
  <si>
    <t>076C0020</t>
  </si>
  <si>
    <t>WBM20030  (WB Mason) (10 RM per case)</t>
  </si>
  <si>
    <t>ST</t>
  </si>
  <si>
    <t>DIVIDER, Insert Big Tab</t>
  </si>
  <si>
    <t>076T0001</t>
  </si>
  <si>
    <t>AVE11109  (WB Mason)</t>
  </si>
  <si>
    <t>076T0014</t>
  </si>
  <si>
    <t>UNV20819  (WB Mason)</t>
  </si>
  <si>
    <t>ENVELOPE, #10 MAILING (500/BX)</t>
  </si>
  <si>
    <t>076E0001</t>
  </si>
  <si>
    <t>QUA90020  (WB Mason)</t>
  </si>
  <si>
    <t>ENVELOPE, CLASP, 10X13</t>
  </si>
  <si>
    <t>076E0002</t>
  </si>
  <si>
    <t>UNV35267  (WB Mason)</t>
  </si>
  <si>
    <t>ERASER, WEDGE (36/BOX)</t>
  </si>
  <si>
    <t>076E0005</t>
  </si>
  <si>
    <t>LEO71506  (WB Mason)</t>
  </si>
  <si>
    <t>ERASER,DRY ERASE SURFACES</t>
  </si>
  <si>
    <t>076E0007</t>
  </si>
  <si>
    <t>SAN81505  (WB Mason)</t>
  </si>
  <si>
    <t>076P0019</t>
  </si>
  <si>
    <t>WBM2015550  (WB Mason)</t>
  </si>
  <si>
    <t>076P0020</t>
  </si>
  <si>
    <t>WBM5012560  (WB Mason)</t>
  </si>
  <si>
    <t>076P0021</t>
  </si>
  <si>
    <t>WBM5012570  (WB Mason)</t>
  </si>
  <si>
    <t>076F0017</t>
  </si>
  <si>
    <t>SMD14537  (WB Mason)</t>
  </si>
  <si>
    <t>076F0018</t>
  </si>
  <si>
    <t>SMD14000  (WB Mason)</t>
  </si>
  <si>
    <t>Folder, 6 Section, Emerald Green</t>
  </si>
  <si>
    <t>076F0022</t>
  </si>
  <si>
    <t>WBM10302 (WB Mason(</t>
  </si>
  <si>
    <t>Folder, 4 Section, Emerald Green</t>
  </si>
  <si>
    <t>076F0021</t>
  </si>
  <si>
    <t>WBM10202 (WB Mason)</t>
  </si>
  <si>
    <t>FOLDER, HANGING, LETTER  (50/BOX)</t>
  </si>
  <si>
    <t>076F0011</t>
  </si>
  <si>
    <t>UNV14115  (WB Mason)</t>
  </si>
  <si>
    <r>
      <t xml:space="preserve">FOLDER, MANILA, LETTER - </t>
    </r>
    <r>
      <rPr>
        <b/>
        <sz val="12"/>
        <color rgb="FFFF0000"/>
        <rFont val="Calibri"/>
        <family val="2"/>
        <scheme val="minor"/>
      </rPr>
      <t>(EA = BX OF 100)</t>
    </r>
  </si>
  <si>
    <t>076F0012</t>
  </si>
  <si>
    <t>UNV12113  (WB Mason)</t>
  </si>
  <si>
    <t>FOLDER, HANGING, LEGAL  (50/BOX)</t>
  </si>
  <si>
    <t>076F0009</t>
  </si>
  <si>
    <t>WBM14213  (WB Mason)</t>
  </si>
  <si>
    <t>FOLDER, MANILA, LEGAL - (100/BOX)</t>
  </si>
  <si>
    <t>076F0010</t>
  </si>
  <si>
    <t>WBM15113  (WB Mason)</t>
  </si>
  <si>
    <t>076L0004</t>
  </si>
  <si>
    <t>AVE5160  (WB Mason)</t>
  </si>
  <si>
    <t>LABELS, File Folders - 5666 1/3 White Cut</t>
  </si>
  <si>
    <t>076L0005</t>
  </si>
  <si>
    <t>AVE8366  (WB Mason)</t>
  </si>
  <si>
    <t>LABELS, File Folders - 8366 1/3 Purple Cut</t>
  </si>
  <si>
    <t>076L0007</t>
  </si>
  <si>
    <t>AVE5666  (WB Mason)</t>
  </si>
  <si>
    <t>MAILER, 9X12</t>
  </si>
  <si>
    <t>076M0013</t>
  </si>
  <si>
    <t>QUA44562  (WB Mason)</t>
  </si>
  <si>
    <t>MARKER, DRY ERASE, BE</t>
  </si>
  <si>
    <t>076M0016</t>
  </si>
  <si>
    <t>SAN80003  (WB Mason)</t>
  </si>
  <si>
    <t>MARKER, DRY ERASE, BK</t>
  </si>
  <si>
    <t>076M0014</t>
  </si>
  <si>
    <t>SAN80001  (WB Mason)</t>
  </si>
  <si>
    <t>MARKER, DRY ERASE, GN</t>
  </si>
  <si>
    <t>076M0017</t>
  </si>
  <si>
    <t>SAN80004  (WB Mason)</t>
  </si>
  <si>
    <t>MARKER, DRY ERASE, RD</t>
  </si>
  <si>
    <t>076M0015</t>
  </si>
  <si>
    <t>SAN80002  (WB Mason)</t>
  </si>
  <si>
    <t>MARKER, HI LITER, YELLOW</t>
  </si>
  <si>
    <t>076M0005</t>
  </si>
  <si>
    <t>AVE24000  (WB Mason)</t>
  </si>
  <si>
    <t>MARKER, PERMANENT, BLACK</t>
  </si>
  <si>
    <t>076M0006</t>
  </si>
  <si>
    <t>SAN30001  (WB Mason)</t>
  </si>
  <si>
    <t>MARKER, PERMANENT, RED</t>
  </si>
  <si>
    <t>076M0009</t>
  </si>
  <si>
    <t>SAN30002  (WB Mason)</t>
  </si>
  <si>
    <t>PD</t>
  </si>
  <si>
    <t xml:space="preserve">NOTE, POST IT, 1.5X2 </t>
  </si>
  <si>
    <t>076P0004</t>
  </si>
  <si>
    <t>UNV35662  (WB Mason) 12 PDs to a PK.</t>
  </si>
  <si>
    <t>NOTE, POST IT, 3X3</t>
  </si>
  <si>
    <t>076P0003</t>
  </si>
  <si>
    <t>UNV35668  (WB Mason)   12 PDs to a PK.</t>
  </si>
  <si>
    <t>NOTE, POST IT, 3X5</t>
  </si>
  <si>
    <t>076P0002</t>
  </si>
  <si>
    <t>UNV35672  (WB Mason)   12 PDs to a PK.</t>
  </si>
  <si>
    <t>PAD, WRITING, 5X8 (white)</t>
  </si>
  <si>
    <t>076P0007</t>
  </si>
  <si>
    <t>UNV46300  (WB Mason)</t>
  </si>
  <si>
    <t>PAD, WRITING, 8.5X11 (white)</t>
  </si>
  <si>
    <t>076P0008</t>
  </si>
  <si>
    <t>UNV20630  (WB Mason)</t>
  </si>
  <si>
    <t>PAD, WRITING, 8.5X14 (canary)</t>
  </si>
  <si>
    <t>076P0009</t>
  </si>
  <si>
    <t>WBM45000  (WB Mason)</t>
  </si>
  <si>
    <t>076P0023</t>
  </si>
  <si>
    <t>PACMMK09202  (WB Mason)</t>
  </si>
  <si>
    <t xml:space="preserve">EA </t>
  </si>
  <si>
    <t>PAPER, 1 SUBJECT SPIRAL NOTEBOOK</t>
  </si>
  <si>
    <t>076SP0022</t>
  </si>
  <si>
    <t>MEA06206  (WB Mason)</t>
  </si>
  <si>
    <t>PAPER, COMPOSITION NOTE BOOK</t>
  </si>
  <si>
    <t>076CB001</t>
  </si>
  <si>
    <t>TOP63794  (WB Mason)</t>
  </si>
  <si>
    <t>PAPER, STENO</t>
  </si>
  <si>
    <t>UNV96920  (WB Mason)</t>
  </si>
  <si>
    <t>DZ</t>
  </si>
  <si>
    <t>PEN, BALL POINT, RETRACTABLE, BLACK</t>
  </si>
  <si>
    <t>076P0015</t>
  </si>
  <si>
    <t>PENK437A (WB Mason)</t>
  </si>
  <si>
    <t>PEN, BALL POINT, RETRACTABLE, BLUE</t>
  </si>
  <si>
    <t>076P0022</t>
  </si>
  <si>
    <t>PENBK497C (WB Mason)</t>
  </si>
  <si>
    <t>PEN, BALL POINT, RETRACTABLE, RED</t>
  </si>
  <si>
    <t>076P0014</t>
  </si>
  <si>
    <t>PENBK440B  (WB Mason)</t>
  </si>
  <si>
    <t>PENS, BLACK, PILOT B2P</t>
  </si>
  <si>
    <t>076BP01</t>
  </si>
  <si>
    <t>Limited supply (do not reorder)</t>
  </si>
  <si>
    <t>PENS, BLUE, PILOT B2P</t>
  </si>
  <si>
    <t>076BP02</t>
  </si>
  <si>
    <t>076P0016</t>
  </si>
  <si>
    <t>EP11031  (WB Mason)</t>
  </si>
  <si>
    <t>PENCIL, #2</t>
  </si>
  <si>
    <t>076P0017</t>
  </si>
  <si>
    <t>UNV55400  (WB Mason)</t>
  </si>
  <si>
    <t>PUSH PINS  (150/PK)</t>
  </si>
  <si>
    <t>076P0018</t>
  </si>
  <si>
    <t>JAM22433543  (WB Mason)</t>
  </si>
  <si>
    <t>RUBBER BANDS, ASST</t>
  </si>
  <si>
    <t>076R0001</t>
  </si>
  <si>
    <t>UNV00454  (WB Mason)</t>
  </si>
  <si>
    <t>RULER, 12"</t>
  </si>
  <si>
    <t>076R0002</t>
  </si>
  <si>
    <t>ACM12975  (WB Mason)</t>
  </si>
  <si>
    <t>RULER, 18"</t>
  </si>
  <si>
    <t>076R0003</t>
  </si>
  <si>
    <t>ACM10417  (WB Mason)</t>
  </si>
  <si>
    <t>SCISSORS, 8"</t>
  </si>
  <si>
    <t>076S0001</t>
  </si>
  <si>
    <t>ACM13135  (WB Mason)</t>
  </si>
  <si>
    <t>SHEET PROTECTORS, LTR  (100/bx)</t>
  </si>
  <si>
    <t>076S0003</t>
  </si>
  <si>
    <t>UNV21125  (WB Mason)</t>
  </si>
  <si>
    <t>STAPLE REMOVER</t>
  </si>
  <si>
    <t>076S0010</t>
  </si>
  <si>
    <t>UNV00700  (WB Mason)</t>
  </si>
  <si>
    <t>STAPLER, REGULAR</t>
  </si>
  <si>
    <t>076S0011</t>
  </si>
  <si>
    <t>SWI40501  (WB Mason)</t>
  </si>
  <si>
    <t>STAPLES, REGULAR</t>
  </si>
  <si>
    <t>076S0012</t>
  </si>
  <si>
    <t>UNV79000  (WB Mason)</t>
  </si>
  <si>
    <t>TAPE DISPENSER</t>
  </si>
  <si>
    <t>076T0002</t>
  </si>
  <si>
    <t>UNV15001  (WB Mason)</t>
  </si>
  <si>
    <t>TAPE, CORRECTION</t>
  </si>
  <si>
    <t>076T0003</t>
  </si>
  <si>
    <t>TOM68720  (WB Mason)</t>
  </si>
  <si>
    <t>RL</t>
  </si>
  <si>
    <t>TAPE, PACKING, CLEAR</t>
  </si>
  <si>
    <t>076T0007</t>
  </si>
  <si>
    <t>MMM36506   (WB Mason) 6 Rl per PK</t>
  </si>
  <si>
    <t>TAPE, SCOTCH, 3/4X1"</t>
  </si>
  <si>
    <t>076T0009</t>
  </si>
  <si>
    <t>MMM810P10K  (WB Mason) 10 Rl per PK</t>
  </si>
  <si>
    <t xml:space="preserve">TAPE, MASKING. 1.5" </t>
  </si>
  <si>
    <t>076MT01</t>
  </si>
  <si>
    <t>WB MASON BPTT9362400</t>
  </si>
  <si>
    <t>INVENTORY SUPPLY REQUEST</t>
  </si>
  <si>
    <t>Line</t>
  </si>
  <si>
    <t>Stock#</t>
  </si>
  <si>
    <t>NIP:</t>
  </si>
  <si>
    <t>TOTAL:</t>
  </si>
  <si>
    <t>Requestor:</t>
  </si>
  <si>
    <t>SUP/Manager:</t>
  </si>
  <si>
    <t>Issued By:</t>
  </si>
  <si>
    <t>Received By:</t>
  </si>
  <si>
    <t>Department:       SHRO</t>
  </si>
  <si>
    <t>Account:               610-201-30</t>
  </si>
  <si>
    <t>Project:    7004.01.006.05</t>
  </si>
  <si>
    <t>Name:       John F Berry</t>
  </si>
  <si>
    <t>Requested Date:</t>
  </si>
  <si>
    <t>Unit</t>
  </si>
  <si>
    <t>Qty</t>
  </si>
  <si>
    <t>Description</t>
  </si>
  <si>
    <t>Unit Price</t>
  </si>
  <si>
    <t>Ext Price</t>
  </si>
  <si>
    <t>Qty Issued</t>
  </si>
  <si>
    <t>Admin Director(If over $500):</t>
  </si>
  <si>
    <t>APPT. CARDS/CLASS PASSES (50 passes/PK)</t>
  </si>
  <si>
    <t>COPY PAPER, 8.5X11 - 30% RECYCLED (10 RM per case)</t>
  </si>
  <si>
    <t xml:space="preserve">DIVIDER, WRITE &amp; ERASE BIG TAB PAPER (8-Tab) </t>
  </si>
  <si>
    <t>FOLDER TWO-POCKET PORTFOLIO-BURGUNDY (25/BX)</t>
  </si>
  <si>
    <t>FOLDER TWO-POCKET PORTFOLIO - GREEN   (25/BX)</t>
  </si>
  <si>
    <t>FOLDER TWO-POCKET PORTFOLIO-YELLOW   (25/BX)</t>
  </si>
  <si>
    <r>
      <t xml:space="preserve">FOLDER, 2-FSTNR, LTR, MANILLA </t>
    </r>
    <r>
      <rPr>
        <b/>
        <sz val="12"/>
        <color rgb="FFFF0000"/>
        <rFont val="Calibri"/>
        <family val="2"/>
        <scheme val="minor"/>
      </rPr>
      <t>(EA = BOX OF 50)</t>
    </r>
  </si>
  <si>
    <t>FOLDER, 6-SECTION, W/FSTNR, LTR, MANILA   (10/BX)</t>
  </si>
  <si>
    <r>
      <t xml:space="preserve">LABELS, ADDRESS - 5160 (1" x 2 5/8")  (3000/PKG)   </t>
    </r>
    <r>
      <rPr>
        <b/>
        <sz val="12"/>
        <color rgb="FFFF0000"/>
        <rFont val="Calibri"/>
        <family val="2"/>
        <scheme val="minor"/>
      </rPr>
      <t>BX=PKG</t>
    </r>
  </si>
  <si>
    <t xml:space="preserve">PAPER, FILLER - College Ruled 3 HOLE (PK/200 Sheets) </t>
  </si>
  <si>
    <t>PENCIL SHARPENER, MANUAL  (wall/counter mount)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</si>
</sst>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0" xfId="0" applyFont="1"/>
    <xf numFmtId="0" fontId="2" fillId="3" borderId="1" xfId="0" applyFont="1" applyFill="1" applyBorder="1" applyAlignment="1">
      <alignment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10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 wrapText="1"/>
    </xf>
    <xf numFmtId="164" fontId="1" fillId="2" borderId="10" xfId="0" applyNumberFormat="1" applyFont="1" applyFill="1" applyBorder="1" applyAlignment="1">
      <alignment horizontal="center" vertical="center"/>
    </xf>
    <xf numFmtId="2" fontId="1" fillId="2" borderId="10" xfId="0" applyNumberFormat="1" applyFont="1" applyFill="1" applyBorder="1" applyAlignment="1">
      <alignment horizontal="center" vertical="center"/>
    </xf>
    <xf numFmtId="2" fontId="2" fillId="3" borderId="1" xfId="0" applyNumberFormat="1" applyFont="1" applyFill="1" applyBorder="1" applyAlignment="1">
      <alignment horizontal="center" vertical="center"/>
    </xf>
    <xf numFmtId="2" fontId="5" fillId="0" borderId="0" xfId="0" applyNumberFormat="1" applyFont="1"/>
    <xf numFmtId="0" fontId="2" fillId="3" borderId="1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1" xfId="0" applyFont="1" applyBorder="1"/>
    <xf numFmtId="165" fontId="6" fillId="0" borderId="1" xfId="0" applyNumberFormat="1" applyFont="1" applyBorder="1"/>
    <xf numFmtId="1" fontId="6" fillId="0" borderId="1" xfId="0" applyNumberFormat="1" applyFont="1" applyBorder="1" applyAlignment="1">
      <alignment horizontal="center"/>
    </xf>
    <xf numFmtId="0" fontId="8" fillId="0" borderId="0" xfId="0" applyFont="1" applyAlignment="1">
      <alignment horizontal="right"/>
    </xf>
    <xf numFmtId="165" fontId="8" fillId="0" borderId="0" xfId="0" applyNumberFormat="1" applyFont="1"/>
    <xf numFmtId="0" fontId="2" fillId="0" borderId="1" xfId="0" applyFont="1" applyBorder="1" applyAlignment="1">
      <alignment vertical="center" wrapText="1"/>
    </xf>
    <xf numFmtId="0" fontId="4" fillId="0" borderId="1" xfId="0" applyFont="1" applyBorder="1" applyAlignment="1" applyProtection="1">
      <alignment horizontal="left" vertical="top" wrapText="1" readingOrder="1"/>
      <protection locked="0"/>
    </xf>
    <xf numFmtId="0" fontId="11" fillId="0" borderId="0" xfId="0" applyFont="1" applyAlignment="1">
      <alignment horizontal="left" vertical="center"/>
    </xf>
    <xf numFmtId="165" fontId="6" fillId="0" borderId="8" xfId="0" applyNumberFormat="1" applyFont="1" applyBorder="1" applyAlignment="1">
      <alignment horizontal="right"/>
    </xf>
    <xf numFmtId="165" fontId="6" fillId="0" borderId="9" xfId="0" applyNumberFormat="1" applyFont="1" applyBorder="1" applyAlignment="1">
      <alignment horizontal="right"/>
    </xf>
    <xf numFmtId="0" fontId="6" fillId="0" borderId="8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8" fillId="0" borderId="11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6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0" fontId="6" fillId="0" borderId="0" xfId="0" applyFont="1"/>
    <xf numFmtId="0" fontId="6" fillId="0" borderId="6" xfId="0" applyFont="1" applyBorder="1"/>
    <xf numFmtId="0" fontId="7" fillId="0" borderId="0" xfId="0" applyFont="1" applyAlignment="1">
      <alignment horizontal="right"/>
    </xf>
    <xf numFmtId="165" fontId="8" fillId="0" borderId="3" xfId="0" applyNumberFormat="1" applyFont="1" applyBorder="1"/>
    <xf numFmtId="0" fontId="9" fillId="4" borderId="0" xfId="0" applyFont="1" applyFill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/>
    </xf>
    <xf numFmtId="0" fontId="10" fillId="0" borderId="6" xfId="0" applyFont="1" applyBorder="1" applyAlignment="1">
      <alignment horizontal="left" vertical="center"/>
    </xf>
    <xf numFmtId="0" fontId="10" fillId="0" borderId="7" xfId="0" applyFont="1" applyBorder="1" applyAlignment="1">
      <alignment horizontal="left" vertical="center"/>
    </xf>
    <xf numFmtId="14" fontId="10" fillId="0" borderId="2" xfId="0" applyNumberFormat="1" applyFont="1" applyBorder="1" applyAlignment="1">
      <alignment horizontal="left" vertical="center"/>
    </xf>
    <xf numFmtId="14" fontId="10" fillId="0" borderId="5" xfId="0" applyNumberFormat="1" applyFont="1" applyBorder="1" applyAlignment="1">
      <alignment horizontal="left" vertical="center"/>
    </xf>
    <xf numFmtId="14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</cellXfs>
  <cellStyles count="1">
    <cellStyle name="Normal" xfId="0" builtinId="0"/>
  </cellStyles>
  <dxfs count="8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0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0</xdr:row>
      <xdr:rowOff>171450</xdr:rowOff>
    </xdr:from>
    <xdr:to>
      <xdr:col>14</xdr:col>
      <xdr:colOff>971550</xdr:colOff>
      <xdr:row>4</xdr:row>
      <xdr:rowOff>19050</xdr:rowOff>
    </xdr:to>
    <xdr:sp macro="[0]!ClearAndReformat" textlink="">
      <xdr:nvSpPr>
        <xdr:cNvPr id="2" name="Rectangle 1">
          <a:extLst>
            <a:ext uri="{FF2B5EF4-FFF2-40B4-BE49-F238E27FC236}">
              <a16:creationId xmlns:a16="http://schemas.microsoft.com/office/drawing/2014/main" id="{E41D5FE2-8D45-0618-AED4-BA12272D1A8B}"/>
            </a:ext>
          </a:extLst>
        </xdr:cNvPr>
        <xdr:cNvSpPr/>
      </xdr:nvSpPr>
      <xdr:spPr>
        <a:xfrm>
          <a:off x="12915900" y="171450"/>
          <a:ext cx="885825" cy="6096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438151</xdr:colOff>
      <xdr:row>31</xdr:row>
      <xdr:rowOff>38100</xdr:rowOff>
    </xdr:from>
    <xdr:to>
      <xdr:col>6</xdr:col>
      <xdr:colOff>83517</xdr:colOff>
      <xdr:row>38</xdr:row>
      <xdr:rowOff>66675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BD133F-3C73-41CB-87C7-240D8D07F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9876" y="7867650"/>
          <a:ext cx="2388566" cy="1362075"/>
        </a:xfrm>
        <a:prstGeom prst="rect">
          <a:avLst/>
        </a:prstGeom>
      </xdr:spPr>
    </xdr:pic>
    <xdr:clientData/>
  </xdr:twoCellAnchor>
  <xdr:twoCellAnchor editAs="oneCell">
    <xdr:from>
      <xdr:col>10</xdr:col>
      <xdr:colOff>304800</xdr:colOff>
      <xdr:row>32</xdr:row>
      <xdr:rowOff>38100</xdr:rowOff>
    </xdr:from>
    <xdr:to>
      <xdr:col>12</xdr:col>
      <xdr:colOff>342900</xdr:colOff>
      <xdr:row>38</xdr:row>
      <xdr:rowOff>133350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16652EC-B093-484B-8A24-309E12C51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3975" y="8058150"/>
          <a:ext cx="2466975" cy="12382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018F0A-FD80-4F41-9D9A-CBA99CA4D212}" name="Table3" displayName="Table3" ref="A1:E79" totalsRowShown="0" headerRowDxfId="7" headerRowBorderDxfId="6" tableBorderDxfId="5">
  <autoFilter ref="A1:E79" xr:uid="{65018F0A-FD80-4F41-9D9A-CBA99CA4D212}"/>
  <tableColumns count="5">
    <tableColumn id="2" xr3:uid="{AB407421-CD52-4ACB-8A00-008397E538E6}" name="DESCRIPTION" dataDxfId="4"/>
    <tableColumn id="1" xr3:uid="{42336E32-6018-4F6E-B5BB-51CC1E5C052D}" name="U/M" dataDxfId="3"/>
    <tableColumn id="3" xr3:uid="{60DB1E96-3EDC-49E9-A852-58CCD92494DB}" name="ETR #" dataDxfId="2"/>
    <tableColumn id="4" xr3:uid="{A1780914-AF29-4C9B-903F-530871D029B7}" name="UNIT COST" dataDxfId="1"/>
    <tableColumn id="5" xr3:uid="{BF168DDC-9237-4F25-8B76-C21423C49DC4}" name="Vendor Part #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119B-8229-4C5D-8C42-51DB24DA9AB7}">
  <sheetPr codeName="Sheet3">
    <pageSetUpPr fitToPage="1"/>
  </sheetPr>
  <dimension ref="A1:O50"/>
  <sheetViews>
    <sheetView showGridLines="0" tabSelected="1" workbookViewId="0">
      <selection activeCell="G14" sqref="G14:J14"/>
    </sheetView>
  </sheetViews>
  <sheetFormatPr defaultColWidth="0" defaultRowHeight="15" zeroHeight="1" x14ac:dyDescent="0.25"/>
  <cols>
    <col min="1" max="1" width="9.140625" customWidth="1"/>
    <col min="2" max="2" width="8.7109375" customWidth="1"/>
    <col min="3" max="3" width="17.7109375" customWidth="1"/>
    <col min="4" max="4" width="15.7109375" customWidth="1"/>
    <col min="5" max="6" width="12.7109375" customWidth="1"/>
    <col min="7" max="8" width="15.7109375" customWidth="1"/>
    <col min="9" max="10" width="10.7109375" customWidth="1"/>
    <col min="11" max="11" width="25.7109375" customWidth="1"/>
    <col min="12" max="13" width="10.7109375" customWidth="1"/>
    <col min="14" max="15" width="15.7109375" customWidth="1"/>
    <col min="16" max="16384" width="9.140625" hidden="1"/>
  </cols>
  <sheetData>
    <row r="1" spans="3:14" x14ac:dyDescent="0.25"/>
    <row r="2" spans="3:14" x14ac:dyDescent="0.25">
      <c r="C2" s="52" t="s">
        <v>233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</row>
    <row r="3" spans="3:14" x14ac:dyDescent="0.25"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</row>
    <row r="4" spans="3:14" x14ac:dyDescent="0.25"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</row>
    <row r="5" spans="3:14" x14ac:dyDescent="0.25"/>
    <row r="6" spans="3:14" ht="15" customHeight="1" x14ac:dyDescent="0.25">
      <c r="C6" s="53" t="s">
        <v>245</v>
      </c>
      <c r="D6" s="54"/>
      <c r="E6" s="54"/>
      <c r="F6" s="55"/>
      <c r="G6" s="53" t="s">
        <v>242</v>
      </c>
      <c r="H6" s="54"/>
      <c r="I6" s="54"/>
      <c r="J6" s="55"/>
      <c r="K6" s="59" t="s">
        <v>246</v>
      </c>
      <c r="L6" s="61">
        <f ca="1">TODAY()</f>
        <v>45089</v>
      </c>
      <c r="M6" s="62"/>
      <c r="N6" s="63"/>
    </row>
    <row r="7" spans="3:14" ht="15" customHeight="1" x14ac:dyDescent="0.25">
      <c r="C7" s="56"/>
      <c r="D7" s="57"/>
      <c r="E7" s="57"/>
      <c r="F7" s="58"/>
      <c r="G7" s="56"/>
      <c r="H7" s="57"/>
      <c r="I7" s="57"/>
      <c r="J7" s="58"/>
      <c r="K7" s="60"/>
      <c r="L7" s="64"/>
      <c r="M7" s="64"/>
      <c r="N7" s="65"/>
    </row>
    <row r="8" spans="3:14" ht="15" customHeight="1" x14ac:dyDescent="0.25">
      <c r="C8" s="53" t="s">
        <v>244</v>
      </c>
      <c r="D8" s="54"/>
      <c r="E8" s="54"/>
      <c r="F8" s="55"/>
      <c r="G8" s="53" t="s">
        <v>243</v>
      </c>
      <c r="H8" s="54"/>
      <c r="I8" s="54"/>
      <c r="J8" s="55"/>
      <c r="K8" s="53" t="s">
        <v>236</v>
      </c>
      <c r="L8" s="62"/>
      <c r="M8" s="62"/>
      <c r="N8" s="63"/>
    </row>
    <row r="9" spans="3:14" ht="15" customHeight="1" x14ac:dyDescent="0.25">
      <c r="C9" s="56"/>
      <c r="D9" s="57"/>
      <c r="E9" s="57"/>
      <c r="F9" s="58"/>
      <c r="G9" s="56"/>
      <c r="H9" s="57"/>
      <c r="I9" s="57"/>
      <c r="J9" s="58"/>
      <c r="K9" s="56"/>
      <c r="L9" s="64"/>
      <c r="M9" s="64"/>
      <c r="N9" s="65"/>
    </row>
    <row r="10" spans="3:14" x14ac:dyDescent="0.25"/>
    <row r="11" spans="3:14" x14ac:dyDescent="0.25"/>
    <row r="12" spans="3:14" ht="18.75" customHeight="1" x14ac:dyDescent="0.25">
      <c r="C12" s="34" t="s">
        <v>234</v>
      </c>
      <c r="D12" s="34" t="s">
        <v>235</v>
      </c>
      <c r="E12" s="34" t="s">
        <v>247</v>
      </c>
      <c r="F12" s="34" t="s">
        <v>248</v>
      </c>
      <c r="G12" s="36" t="s">
        <v>249</v>
      </c>
      <c r="H12" s="37"/>
      <c r="I12" s="37"/>
      <c r="J12" s="38"/>
      <c r="K12" s="34" t="s">
        <v>250</v>
      </c>
      <c r="L12" s="36" t="s">
        <v>251</v>
      </c>
      <c r="M12" s="38"/>
      <c r="N12" s="34" t="s">
        <v>252</v>
      </c>
    </row>
    <row r="13" spans="3:14" x14ac:dyDescent="0.25">
      <c r="C13" s="35"/>
      <c r="D13" s="35"/>
      <c r="E13" s="35"/>
      <c r="F13" s="35"/>
      <c r="G13" s="39"/>
      <c r="H13" s="40"/>
      <c r="I13" s="40"/>
      <c r="J13" s="41"/>
      <c r="K13" s="35"/>
      <c r="L13" s="39"/>
      <c r="M13" s="41"/>
      <c r="N13" s="35"/>
    </row>
    <row r="14" spans="3:14" ht="24.95" customHeight="1" x14ac:dyDescent="0.3">
      <c r="C14" s="16">
        <v>1</v>
      </c>
      <c r="D14" s="21" t="str">
        <f>IFERROR(VLOOKUP(G14,Catalog!A2:E78,3,FALSE),"")</f>
        <v/>
      </c>
      <c r="E14" s="21" t="str">
        <f>IFERROR(VLOOKUP(G14,Catalog!A2:E78,2,FALSE),"")</f>
        <v/>
      </c>
      <c r="F14" s="23"/>
      <c r="G14" s="31"/>
      <c r="H14" s="32"/>
      <c r="I14" s="32"/>
      <c r="J14" s="33"/>
      <c r="K14" s="22" t="str">
        <f>IFERROR(VLOOKUP(G14,Catalog!A2:E78,4,FALSE),"")</f>
        <v/>
      </c>
      <c r="L14" s="29" t="str">
        <f>IF(F14&lt;&gt;"",K14*F14, "")</f>
        <v/>
      </c>
      <c r="M14" s="30"/>
      <c r="N14" s="21"/>
    </row>
    <row r="15" spans="3:14" ht="24.95" customHeight="1" x14ac:dyDescent="0.3">
      <c r="C15" s="16">
        <v>2</v>
      </c>
      <c r="D15" s="21" t="str">
        <f>IFERROR(VLOOKUP(G15,Catalog!A3:E79,3,FALSE),"")</f>
        <v/>
      </c>
      <c r="E15" s="21" t="str">
        <f>IFERROR(VLOOKUP(G15,Catalog!A3:E79,2,FALSE),"")</f>
        <v/>
      </c>
      <c r="F15" s="23"/>
      <c r="G15" s="31"/>
      <c r="H15" s="32"/>
      <c r="I15" s="32"/>
      <c r="J15" s="33"/>
      <c r="K15" s="22" t="str">
        <f>IFERROR(VLOOKUP(G15,Catalog!A3:E79,4,FALSE),"")</f>
        <v/>
      </c>
      <c r="L15" s="29" t="str">
        <f t="shared" ref="L15:L27" si="0">IF(F15&lt;&gt;"",K15*F15, "")</f>
        <v/>
      </c>
      <c r="M15" s="30"/>
      <c r="N15" s="21"/>
    </row>
    <row r="16" spans="3:14" ht="24.95" customHeight="1" x14ac:dyDescent="0.3">
      <c r="C16" s="16">
        <v>3</v>
      </c>
      <c r="D16" s="21" t="str">
        <f>IFERROR(VLOOKUP(G16,Catalog!A4:E80,3,FALSE),"")</f>
        <v/>
      </c>
      <c r="E16" s="21" t="str">
        <f>IFERROR(VLOOKUP(G16,Catalog!A4:E80,2,FALSE),"")</f>
        <v/>
      </c>
      <c r="F16" s="23"/>
      <c r="G16" s="31"/>
      <c r="H16" s="32"/>
      <c r="I16" s="32"/>
      <c r="J16" s="33"/>
      <c r="K16" s="22" t="str">
        <f>IFERROR(VLOOKUP(G16,Catalog!A4:E80,4,FALSE),"")</f>
        <v/>
      </c>
      <c r="L16" s="29" t="str">
        <f t="shared" si="0"/>
        <v/>
      </c>
      <c r="M16" s="30"/>
      <c r="N16" s="21"/>
    </row>
    <row r="17" spans="3:14" ht="24.95" customHeight="1" x14ac:dyDescent="0.3">
      <c r="C17" s="16">
        <v>4</v>
      </c>
      <c r="D17" s="21" t="str">
        <f>IFERROR(VLOOKUP(G17,Catalog!A5:E81,3,FALSE),"")</f>
        <v/>
      </c>
      <c r="E17" s="21" t="str">
        <f>IFERROR(VLOOKUP(G17,Catalog!A5:E81,2,FALSE),"")</f>
        <v/>
      </c>
      <c r="F17" s="23"/>
      <c r="G17" s="31"/>
      <c r="H17" s="32"/>
      <c r="I17" s="32"/>
      <c r="J17" s="33"/>
      <c r="K17" s="22" t="str">
        <f>IFERROR(VLOOKUP(G17,Catalog!A5:E81,4,FALSE),"")</f>
        <v/>
      </c>
      <c r="L17" s="29" t="str">
        <f t="shared" si="0"/>
        <v/>
      </c>
      <c r="M17" s="30"/>
      <c r="N17" s="21"/>
    </row>
    <row r="18" spans="3:14" ht="24.95" customHeight="1" x14ac:dyDescent="0.3">
      <c r="C18" s="16">
        <v>5</v>
      </c>
      <c r="D18" s="21" t="str">
        <f>IFERROR(VLOOKUP(G18,Catalog!A6:E82,3,FALSE),"")</f>
        <v/>
      </c>
      <c r="E18" s="21" t="str">
        <f>IFERROR(VLOOKUP(G18,Catalog!A6:E82,2,FALSE),"")</f>
        <v/>
      </c>
      <c r="F18" s="23"/>
      <c r="G18" s="31"/>
      <c r="H18" s="32"/>
      <c r="I18" s="32"/>
      <c r="J18" s="33"/>
      <c r="K18" s="22" t="str">
        <f>IFERROR(VLOOKUP(G18,Catalog!A6:E82,4,FALSE),"")</f>
        <v/>
      </c>
      <c r="L18" s="29" t="str">
        <f t="shared" si="0"/>
        <v/>
      </c>
      <c r="M18" s="30"/>
      <c r="N18" s="21"/>
    </row>
    <row r="19" spans="3:14" ht="24.95" customHeight="1" x14ac:dyDescent="0.3">
      <c r="C19" s="16">
        <v>6</v>
      </c>
      <c r="D19" s="21" t="str">
        <f>IFERROR(VLOOKUP(G19,Catalog!A7:E83,3,FALSE),"")</f>
        <v/>
      </c>
      <c r="E19" s="21" t="str">
        <f>IFERROR(VLOOKUP(G19,Catalog!A7:E83,2,FALSE),"")</f>
        <v/>
      </c>
      <c r="F19" s="23"/>
      <c r="G19" s="31"/>
      <c r="H19" s="32"/>
      <c r="I19" s="32"/>
      <c r="J19" s="33"/>
      <c r="K19" s="22" t="str">
        <f>IFERROR(VLOOKUP(G19,Catalog!A7:E83,4,FALSE),"")</f>
        <v/>
      </c>
      <c r="L19" s="29" t="str">
        <f t="shared" si="0"/>
        <v/>
      </c>
      <c r="M19" s="30"/>
      <c r="N19" s="21"/>
    </row>
    <row r="20" spans="3:14" ht="24.95" customHeight="1" x14ac:dyDescent="0.3">
      <c r="C20" s="16">
        <v>7</v>
      </c>
      <c r="D20" s="21" t="str">
        <f>IFERROR(VLOOKUP(G20,Catalog!A8:E84,3,FALSE),"")</f>
        <v/>
      </c>
      <c r="E20" s="21" t="str">
        <f>IFERROR(VLOOKUP(G20,Catalog!A8:E84,2,FALSE),"")</f>
        <v/>
      </c>
      <c r="F20" s="23"/>
      <c r="G20" s="31"/>
      <c r="H20" s="32"/>
      <c r="I20" s="32"/>
      <c r="J20" s="33"/>
      <c r="K20" s="22" t="str">
        <f>IFERROR(VLOOKUP(G20,Catalog!A8:E84,4,FALSE),"")</f>
        <v/>
      </c>
      <c r="L20" s="29" t="str">
        <f t="shared" si="0"/>
        <v/>
      </c>
      <c r="M20" s="30"/>
      <c r="N20" s="21"/>
    </row>
    <row r="21" spans="3:14" ht="24.95" customHeight="1" x14ac:dyDescent="0.3">
      <c r="C21" s="16">
        <v>8</v>
      </c>
      <c r="D21" s="21" t="str">
        <f>IFERROR(VLOOKUP(G21,Catalog!A9:E85,3,FALSE),"")</f>
        <v/>
      </c>
      <c r="E21" s="21" t="str">
        <f>IFERROR(VLOOKUP(G21,Catalog!A9:E85,2,FALSE),"")</f>
        <v/>
      </c>
      <c r="F21" s="23"/>
      <c r="G21" s="31"/>
      <c r="H21" s="32"/>
      <c r="I21" s="32"/>
      <c r="J21" s="33"/>
      <c r="K21" s="22" t="str">
        <f>IFERROR(VLOOKUP(G21,Catalog!A9:E85,4,FALSE),"")</f>
        <v/>
      </c>
      <c r="L21" s="29" t="str">
        <f t="shared" si="0"/>
        <v/>
      </c>
      <c r="M21" s="30"/>
      <c r="N21" s="21"/>
    </row>
    <row r="22" spans="3:14" ht="24.95" customHeight="1" x14ac:dyDescent="0.3">
      <c r="C22" s="16">
        <v>9</v>
      </c>
      <c r="D22" s="21" t="str">
        <f>IFERROR(VLOOKUP(G22,Catalog!A10:E86,3,FALSE),"")</f>
        <v/>
      </c>
      <c r="E22" s="21" t="str">
        <f>IFERROR(VLOOKUP(G22,Catalog!A10:E86,2,FALSE),"")</f>
        <v/>
      </c>
      <c r="F22" s="23"/>
      <c r="G22" s="31"/>
      <c r="H22" s="32"/>
      <c r="I22" s="32"/>
      <c r="J22" s="33"/>
      <c r="K22" s="22" t="str">
        <f>IFERROR(VLOOKUP(G22,Catalog!A10:E86,4,FALSE),"")</f>
        <v/>
      </c>
      <c r="L22" s="29" t="str">
        <f t="shared" si="0"/>
        <v/>
      </c>
      <c r="M22" s="30"/>
      <c r="N22" s="21"/>
    </row>
    <row r="23" spans="3:14" ht="24.95" customHeight="1" x14ac:dyDescent="0.3">
      <c r="C23" s="16">
        <v>10</v>
      </c>
      <c r="D23" s="21" t="str">
        <f>IFERROR(VLOOKUP(G23,Catalog!A11:E87,3,FALSE),"")</f>
        <v/>
      </c>
      <c r="E23" s="21" t="str">
        <f>IFERROR(VLOOKUP(G23,Catalog!A11:E87,2,FALSE),"")</f>
        <v/>
      </c>
      <c r="F23" s="23"/>
      <c r="G23" s="31"/>
      <c r="H23" s="32"/>
      <c r="I23" s="32"/>
      <c r="J23" s="33"/>
      <c r="K23" s="22" t="str">
        <f>IFERROR(VLOOKUP(G23,Catalog!A11:E87,4,FALSE),"")</f>
        <v/>
      </c>
      <c r="L23" s="29" t="str">
        <f t="shared" si="0"/>
        <v/>
      </c>
      <c r="M23" s="30"/>
      <c r="N23" s="21"/>
    </row>
    <row r="24" spans="3:14" ht="24.95" customHeight="1" x14ac:dyDescent="0.3">
      <c r="C24" s="16">
        <v>11</v>
      </c>
      <c r="D24" s="21" t="str">
        <f>IFERROR(VLOOKUP(G24,Catalog!A12:E88,3,FALSE),"")</f>
        <v/>
      </c>
      <c r="E24" s="21" t="str">
        <f>IFERROR(VLOOKUP(G24,Catalog!A12:E88,2,FALSE),"")</f>
        <v/>
      </c>
      <c r="F24" s="23"/>
      <c r="G24" s="31"/>
      <c r="H24" s="32"/>
      <c r="I24" s="32"/>
      <c r="J24" s="33"/>
      <c r="K24" s="22" t="str">
        <f>IFERROR(VLOOKUP(G24,Catalog!A12:E88,4,FALSE),"")</f>
        <v/>
      </c>
      <c r="L24" s="29" t="str">
        <f t="shared" si="0"/>
        <v/>
      </c>
      <c r="M24" s="30"/>
      <c r="N24" s="21"/>
    </row>
    <row r="25" spans="3:14" ht="24.95" customHeight="1" x14ac:dyDescent="0.3">
      <c r="C25" s="16">
        <v>12</v>
      </c>
      <c r="D25" s="21" t="str">
        <f>IFERROR(VLOOKUP(G25,Catalog!A13:E89,3,FALSE),"")</f>
        <v/>
      </c>
      <c r="E25" s="21" t="str">
        <f>IFERROR(VLOOKUP(G25,Catalog!A13:E89,2,FALSE),"")</f>
        <v/>
      </c>
      <c r="F25" s="23"/>
      <c r="G25" s="31"/>
      <c r="H25" s="32"/>
      <c r="I25" s="32"/>
      <c r="J25" s="33"/>
      <c r="K25" s="22" t="str">
        <f>IFERROR(VLOOKUP(G25,Catalog!A13:E89,4,FALSE),"")</f>
        <v/>
      </c>
      <c r="L25" s="29" t="str">
        <f t="shared" si="0"/>
        <v/>
      </c>
      <c r="M25" s="30"/>
      <c r="N25" s="21"/>
    </row>
    <row r="26" spans="3:14" ht="24.95" customHeight="1" x14ac:dyDescent="0.3">
      <c r="C26" s="16">
        <v>13</v>
      </c>
      <c r="D26" s="21" t="str">
        <f>IFERROR(VLOOKUP(G26,Catalog!A14:E90,3,FALSE),"")</f>
        <v/>
      </c>
      <c r="E26" s="21" t="str">
        <f>IFERROR(VLOOKUP(G26,Catalog!A14:E90,2,FALSE),"")</f>
        <v/>
      </c>
      <c r="F26" s="23"/>
      <c r="G26" s="31"/>
      <c r="H26" s="32"/>
      <c r="I26" s="32"/>
      <c r="J26" s="33"/>
      <c r="K26" s="22" t="str">
        <f>IFERROR(VLOOKUP(G26,Catalog!A14:E90,4,FALSE),"")</f>
        <v/>
      </c>
      <c r="L26" s="29" t="str">
        <f t="shared" si="0"/>
        <v/>
      </c>
      <c r="M26" s="30"/>
      <c r="N26" s="21"/>
    </row>
    <row r="27" spans="3:14" ht="24.95" customHeight="1" x14ac:dyDescent="0.3">
      <c r="C27" s="16">
        <v>14</v>
      </c>
      <c r="D27" s="21" t="str">
        <f>IFERROR(VLOOKUP(G27,Catalog!A15:E91,3,FALSE),"")</f>
        <v/>
      </c>
      <c r="E27" s="21" t="str">
        <f>IFERROR(VLOOKUP(G27,Catalog!A15:E91,2,FALSE),"")</f>
        <v/>
      </c>
      <c r="F27" s="23"/>
      <c r="G27" s="31"/>
      <c r="H27" s="32"/>
      <c r="I27" s="32"/>
      <c r="J27" s="33"/>
      <c r="K27" s="22" t="str">
        <f>IFERROR(VLOOKUP(G27,Catalog!A15:E91,4,FALSE),"")</f>
        <v/>
      </c>
      <c r="L27" s="29" t="str">
        <f t="shared" si="0"/>
        <v/>
      </c>
      <c r="M27" s="30"/>
      <c r="N27" s="21"/>
    </row>
    <row r="28" spans="3:14" ht="18.75" x14ac:dyDescent="0.3">
      <c r="K28" s="24" t="s">
        <v>237</v>
      </c>
      <c r="L28" s="51">
        <f>SUM(L14:M27)</f>
        <v>0</v>
      </c>
      <c r="M28" s="51"/>
    </row>
    <row r="29" spans="3:14" ht="18.75" x14ac:dyDescent="0.3">
      <c r="K29" s="24"/>
      <c r="L29" s="25"/>
      <c r="M29" s="25"/>
    </row>
    <row r="30" spans="3:14" ht="18.75" x14ac:dyDescent="0.3">
      <c r="K30" s="24"/>
      <c r="L30" s="25"/>
      <c r="M30" s="25"/>
    </row>
    <row r="31" spans="3:14" x14ac:dyDescent="0.25">
      <c r="C31" s="45" t="s">
        <v>238</v>
      </c>
      <c r="D31" s="46"/>
      <c r="E31" s="46"/>
      <c r="F31" s="46"/>
      <c r="G31" s="46"/>
      <c r="I31" s="42" t="s">
        <v>240</v>
      </c>
      <c r="J31" s="50"/>
      <c r="K31" s="18"/>
      <c r="L31" s="18"/>
      <c r="M31" s="18"/>
    </row>
    <row r="32" spans="3:14" ht="15" customHeight="1" x14ac:dyDescent="0.25">
      <c r="C32" s="45"/>
      <c r="D32" s="47"/>
      <c r="E32" s="47"/>
      <c r="F32" s="47"/>
      <c r="G32" s="47"/>
      <c r="I32" s="50"/>
      <c r="J32" s="50"/>
      <c r="K32" s="15"/>
      <c r="L32" s="15"/>
      <c r="M32" s="15"/>
    </row>
    <row r="33" spans="3:13" ht="15" customHeight="1" x14ac:dyDescent="0.3">
      <c r="I33" s="17"/>
    </row>
    <row r="34" spans="3:13" ht="15" customHeight="1" x14ac:dyDescent="0.3">
      <c r="C34" s="45" t="s">
        <v>239</v>
      </c>
      <c r="D34" s="48"/>
      <c r="E34" s="48"/>
      <c r="F34" s="48"/>
      <c r="G34" s="48"/>
      <c r="I34" s="42" t="s">
        <v>241</v>
      </c>
      <c r="J34" s="42"/>
      <c r="K34" s="19"/>
      <c r="L34" s="19"/>
      <c r="M34" s="19"/>
    </row>
    <row r="35" spans="3:13" ht="15" customHeight="1" x14ac:dyDescent="0.3">
      <c r="C35" s="46"/>
      <c r="D35" s="49"/>
      <c r="E35" s="49"/>
      <c r="F35" s="49"/>
      <c r="G35" s="49"/>
      <c r="I35" s="42"/>
      <c r="J35" s="42"/>
      <c r="K35" s="20"/>
      <c r="L35" s="20"/>
      <c r="M35" s="20"/>
    </row>
    <row r="36" spans="3:13" x14ac:dyDescent="0.25"/>
    <row r="37" spans="3:13" x14ac:dyDescent="0.25">
      <c r="C37" s="42" t="s">
        <v>253</v>
      </c>
      <c r="D37" s="42"/>
      <c r="E37" s="43"/>
      <c r="F37" s="43"/>
      <c r="G37" s="43"/>
      <c r="H37" s="43"/>
      <c r="I37" s="43"/>
    </row>
    <row r="38" spans="3:13" x14ac:dyDescent="0.25">
      <c r="C38" s="42"/>
      <c r="D38" s="42"/>
      <c r="E38" s="44"/>
      <c r="F38" s="44"/>
      <c r="G38" s="44"/>
      <c r="H38" s="44"/>
      <c r="I38" s="44"/>
    </row>
    <row r="39" spans="3:13" x14ac:dyDescent="0.25"/>
    <row r="40" spans="3:13" x14ac:dyDescent="0.25"/>
    <row r="41" spans="3:13" x14ac:dyDescent="0.25"/>
    <row r="42" spans="3:13" x14ac:dyDescent="0.25"/>
    <row r="43" spans="3:13" x14ac:dyDescent="0.25"/>
    <row r="49" x14ac:dyDescent="0.25"/>
    <row r="50" x14ac:dyDescent="0.25"/>
  </sheetData>
  <mergeCells count="54">
    <mergeCell ref="N12:N13"/>
    <mergeCell ref="G14:J14"/>
    <mergeCell ref="G15:J15"/>
    <mergeCell ref="G16:J16"/>
    <mergeCell ref="K8:K9"/>
    <mergeCell ref="K12:K13"/>
    <mergeCell ref="L12:M13"/>
    <mergeCell ref="C2:N4"/>
    <mergeCell ref="C6:F7"/>
    <mergeCell ref="G6:J7"/>
    <mergeCell ref="C8:F9"/>
    <mergeCell ref="G8:J9"/>
    <mergeCell ref="K6:K7"/>
    <mergeCell ref="L6:N7"/>
    <mergeCell ref="L8:N9"/>
    <mergeCell ref="C37:D38"/>
    <mergeCell ref="E37:I38"/>
    <mergeCell ref="L26:M26"/>
    <mergeCell ref="L27:M27"/>
    <mergeCell ref="C31:C32"/>
    <mergeCell ref="D31:G32"/>
    <mergeCell ref="C34:C35"/>
    <mergeCell ref="D34:G35"/>
    <mergeCell ref="G26:J26"/>
    <mergeCell ref="G27:J27"/>
    <mergeCell ref="I31:J32"/>
    <mergeCell ref="L28:M28"/>
    <mergeCell ref="I34:J35"/>
    <mergeCell ref="C12:C13"/>
    <mergeCell ref="D12:D13"/>
    <mergeCell ref="E12:E13"/>
    <mergeCell ref="F12:F13"/>
    <mergeCell ref="G12:J13"/>
    <mergeCell ref="L15:M15"/>
    <mergeCell ref="L16:M16"/>
    <mergeCell ref="L17:M17"/>
    <mergeCell ref="L18:M18"/>
    <mergeCell ref="L19:M19"/>
    <mergeCell ref="L24:M24"/>
    <mergeCell ref="L25:M25"/>
    <mergeCell ref="G24:J24"/>
    <mergeCell ref="G25:J25"/>
    <mergeCell ref="L14:M14"/>
    <mergeCell ref="G22:J22"/>
    <mergeCell ref="G17:J17"/>
    <mergeCell ref="G18:J18"/>
    <mergeCell ref="G19:J19"/>
    <mergeCell ref="G20:J20"/>
    <mergeCell ref="G21:J21"/>
    <mergeCell ref="G23:J23"/>
    <mergeCell ref="L20:M20"/>
    <mergeCell ref="L21:M21"/>
    <mergeCell ref="L22:M22"/>
    <mergeCell ref="L23:M23"/>
  </mergeCells>
  <dataValidations count="1">
    <dataValidation type="list" allowBlank="1" showInputMessage="1" showErrorMessage="1" sqref="F14:F27" xr:uid="{F40EB26E-0981-4325-88AF-F8C987EC2842}">
      <formula1>"    ,1,2,3,4,5,6,7,8,9,10,11,12,13,14,15,16,17,18,19,20,21,22,23,24,25"</formula1>
    </dataValidation>
  </dataValidations>
  <pageMargins left="0.7" right="0.7" top="0.75" bottom="0.75" header="0.3" footer="0.3"/>
  <pageSetup scale="7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0281FA-2460-4E1D-8741-615146085591}">
          <x14:formula1>
            <xm:f>Catalog!$A$2:$A$79</xm:f>
          </x14:formula1>
          <xm:sqref>G14:J27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DCBE6-D2B3-40E5-940F-771FE4458D81}">
  <sheetPr codeName="Sheet2"/>
  <dimension ref="A1:F79"/>
  <sheetViews>
    <sheetView workbookViewId="0">
      <selection activeCell="A3" sqref="A3"/>
    </sheetView>
  </sheetViews>
  <sheetFormatPr defaultRowHeight="15.75" x14ac:dyDescent="0.25"/>
  <cols>
    <col min="1" max="1" width="65.5703125" style="2" customWidth="1"/>
    <col min="2" max="2" width="10" style="2" bestFit="1" customWidth="1"/>
    <col min="4" max="4" width="21.85546875" style="2" customWidth="1"/>
    <col min="5" max="5" width="32.85546875" style="11" customWidth="1"/>
    <col min="6" max="6" width="53.7109375" style="2" customWidth="1"/>
  </cols>
  <sheetData>
    <row r="1" spans="1:6" ht="15.95" customHeight="1" x14ac:dyDescent="0.25">
      <c r="A1" s="7" t="s">
        <v>1</v>
      </c>
      <c r="B1" s="6" t="s">
        <v>0</v>
      </c>
      <c r="C1" s="8" t="s">
        <v>2</v>
      </c>
      <c r="D1" s="9" t="s">
        <v>3</v>
      </c>
      <c r="E1" s="6" t="s">
        <v>4</v>
      </c>
      <c r="F1"/>
    </row>
    <row r="2" spans="1:6" ht="15.95" customHeight="1" x14ac:dyDescent="0.25">
      <c r="A2" s="3"/>
      <c r="B2" s="1"/>
      <c r="C2" s="4"/>
      <c r="D2" s="10"/>
      <c r="E2" s="13"/>
      <c r="F2"/>
    </row>
    <row r="3" spans="1:6" ht="15.95" customHeight="1" x14ac:dyDescent="0.25">
      <c r="A3" s="26" t="s">
        <v>254</v>
      </c>
      <c r="B3" s="1" t="s">
        <v>5</v>
      </c>
      <c r="C3" s="4" t="s">
        <v>6</v>
      </c>
      <c r="D3" s="10">
        <v>0.79600000000000004</v>
      </c>
      <c r="E3" s="1" t="s">
        <v>7</v>
      </c>
      <c r="F3"/>
    </row>
    <row r="4" spans="1:6" ht="15.95" customHeight="1" x14ac:dyDescent="0.25">
      <c r="A4" s="26" t="s">
        <v>8</v>
      </c>
      <c r="B4" s="1" t="s">
        <v>5</v>
      </c>
      <c r="C4" s="4" t="s">
        <v>9</v>
      </c>
      <c r="D4" s="10">
        <v>9.99</v>
      </c>
      <c r="E4" s="1" t="s">
        <v>10</v>
      </c>
      <c r="F4"/>
    </row>
    <row r="5" spans="1:6" ht="15.95" customHeight="1" x14ac:dyDescent="0.25">
      <c r="A5" s="26" t="s">
        <v>11</v>
      </c>
      <c r="B5" s="1" t="s">
        <v>5</v>
      </c>
      <c r="C5" s="4" t="s">
        <v>12</v>
      </c>
      <c r="D5" s="10">
        <v>7.44</v>
      </c>
      <c r="E5" s="1" t="s">
        <v>13</v>
      </c>
      <c r="F5"/>
    </row>
    <row r="6" spans="1:6" ht="15.95" customHeight="1" x14ac:dyDescent="0.25">
      <c r="A6" s="26" t="s">
        <v>14</v>
      </c>
      <c r="B6" s="1" t="s">
        <v>5</v>
      </c>
      <c r="C6" s="4" t="s">
        <v>15</v>
      </c>
      <c r="D6" s="10">
        <v>9.84</v>
      </c>
      <c r="E6" s="1" t="s">
        <v>16</v>
      </c>
      <c r="F6"/>
    </row>
    <row r="7" spans="1:6" ht="15.95" customHeight="1" x14ac:dyDescent="0.25">
      <c r="A7" s="26" t="s">
        <v>17</v>
      </c>
      <c r="B7" s="1" t="s">
        <v>5</v>
      </c>
      <c r="C7" s="4" t="s">
        <v>18</v>
      </c>
      <c r="D7" s="10">
        <v>12.64</v>
      </c>
      <c r="E7" s="1" t="s">
        <v>19</v>
      </c>
      <c r="F7"/>
    </row>
    <row r="8" spans="1:6" ht="15.95" customHeight="1" x14ac:dyDescent="0.25">
      <c r="A8" s="26" t="s">
        <v>20</v>
      </c>
      <c r="B8" s="1" t="s">
        <v>5</v>
      </c>
      <c r="C8" s="4" t="s">
        <v>21</v>
      </c>
      <c r="D8" s="10">
        <v>12.48</v>
      </c>
      <c r="E8" s="1" t="s">
        <v>22</v>
      </c>
      <c r="F8"/>
    </row>
    <row r="9" spans="1:6" ht="15.95" customHeight="1" x14ac:dyDescent="0.25">
      <c r="A9" s="26" t="s">
        <v>24</v>
      </c>
      <c r="B9" s="1" t="s">
        <v>23</v>
      </c>
      <c r="C9" s="4" t="s">
        <v>25</v>
      </c>
      <c r="D9" s="10">
        <v>3.72</v>
      </c>
      <c r="E9" s="1" t="s">
        <v>26</v>
      </c>
      <c r="F9"/>
    </row>
    <row r="10" spans="1:6" ht="15.95" customHeight="1" x14ac:dyDescent="0.25">
      <c r="A10" s="26" t="s">
        <v>27</v>
      </c>
      <c r="B10" s="1" t="s">
        <v>5</v>
      </c>
      <c r="C10" s="4" t="s">
        <v>28</v>
      </c>
      <c r="D10" s="10">
        <v>2.23</v>
      </c>
      <c r="E10" s="1" t="s">
        <v>29</v>
      </c>
      <c r="F10"/>
    </row>
    <row r="11" spans="1:6" ht="15.95" customHeight="1" x14ac:dyDescent="0.25">
      <c r="A11" s="26" t="s">
        <v>31</v>
      </c>
      <c r="B11" s="1" t="s">
        <v>30</v>
      </c>
      <c r="C11" s="4" t="s">
        <v>32</v>
      </c>
      <c r="D11" s="10">
        <v>0.49</v>
      </c>
      <c r="E11" s="1" t="s">
        <v>33</v>
      </c>
      <c r="F11"/>
    </row>
    <row r="12" spans="1:6" ht="15.95" customHeight="1" x14ac:dyDescent="0.25">
      <c r="A12" s="26" t="s">
        <v>35</v>
      </c>
      <c r="B12" s="1" t="s">
        <v>34</v>
      </c>
      <c r="C12" s="4" t="s">
        <v>36</v>
      </c>
      <c r="D12" s="10">
        <v>5.38</v>
      </c>
      <c r="E12" s="1" t="s">
        <v>37</v>
      </c>
      <c r="F12"/>
    </row>
    <row r="13" spans="1:6" ht="15.95" customHeight="1" x14ac:dyDescent="0.25">
      <c r="A13" s="26" t="s">
        <v>38</v>
      </c>
      <c r="B13" s="1" t="s">
        <v>23</v>
      </c>
      <c r="C13" s="4" t="s">
        <v>39</v>
      </c>
      <c r="D13" s="10">
        <v>1.0900000000000001</v>
      </c>
      <c r="E13" s="1" t="s">
        <v>40</v>
      </c>
      <c r="F13"/>
    </row>
    <row r="14" spans="1:6" ht="15.95" customHeight="1" x14ac:dyDescent="0.25">
      <c r="A14" s="26" t="s">
        <v>41</v>
      </c>
      <c r="B14" s="1" t="s">
        <v>23</v>
      </c>
      <c r="C14" s="4" t="s">
        <v>42</v>
      </c>
      <c r="D14" s="10">
        <v>0.84</v>
      </c>
      <c r="E14" s="1" t="s">
        <v>43</v>
      </c>
      <c r="F14"/>
    </row>
    <row r="15" spans="1:6" ht="15.95" customHeight="1" x14ac:dyDescent="0.25">
      <c r="A15" s="26" t="s">
        <v>44</v>
      </c>
      <c r="B15" s="1" t="s">
        <v>30</v>
      </c>
      <c r="C15" s="4" t="s">
        <v>45</v>
      </c>
      <c r="D15" s="10">
        <v>2.99</v>
      </c>
      <c r="E15" s="1" t="s">
        <v>46</v>
      </c>
      <c r="F15"/>
    </row>
    <row r="16" spans="1:6" ht="15.95" customHeight="1" x14ac:dyDescent="0.25">
      <c r="A16" s="26" t="s">
        <v>47</v>
      </c>
      <c r="B16" s="1" t="s">
        <v>30</v>
      </c>
      <c r="C16" s="4" t="s">
        <v>48</v>
      </c>
      <c r="D16" s="10">
        <v>1.0900000000000001</v>
      </c>
      <c r="E16" s="1" t="s">
        <v>49</v>
      </c>
      <c r="F16"/>
    </row>
    <row r="17" spans="1:6" ht="15.95" customHeight="1" x14ac:dyDescent="0.25">
      <c r="A17" s="26" t="s">
        <v>50</v>
      </c>
      <c r="B17" s="1" t="s">
        <v>30</v>
      </c>
      <c r="C17" s="4" t="s">
        <v>51</v>
      </c>
      <c r="D17" s="10">
        <v>0.49</v>
      </c>
      <c r="E17" s="1" t="s">
        <v>52</v>
      </c>
      <c r="F17"/>
    </row>
    <row r="18" spans="1:6" ht="15.95" customHeight="1" x14ac:dyDescent="0.25">
      <c r="A18" s="26" t="s">
        <v>53</v>
      </c>
      <c r="B18" s="1" t="s">
        <v>30</v>
      </c>
      <c r="C18" s="4" t="s">
        <v>54</v>
      </c>
      <c r="D18" s="10">
        <f>2.08/10</f>
        <v>0.20800000000000002</v>
      </c>
      <c r="E18" s="12" t="s">
        <v>55</v>
      </c>
      <c r="F18"/>
    </row>
    <row r="19" spans="1:6" ht="15.95" customHeight="1" x14ac:dyDescent="0.25">
      <c r="A19" s="26" t="s">
        <v>56</v>
      </c>
      <c r="B19" s="1" t="s">
        <v>30</v>
      </c>
      <c r="C19" s="4" t="s">
        <v>57</v>
      </c>
      <c r="D19" s="10">
        <f>6.6/10</f>
        <v>0.65999999999999992</v>
      </c>
      <c r="E19" s="12" t="s">
        <v>58</v>
      </c>
      <c r="F19"/>
    </row>
    <row r="20" spans="1:6" ht="15.95" customHeight="1" x14ac:dyDescent="0.25">
      <c r="A20" s="26" t="s">
        <v>255</v>
      </c>
      <c r="B20" s="1" t="s">
        <v>59</v>
      </c>
      <c r="C20" s="4" t="s">
        <v>60</v>
      </c>
      <c r="D20" s="10">
        <v>3.2</v>
      </c>
      <c r="E20" s="12" t="s">
        <v>61</v>
      </c>
      <c r="F20"/>
    </row>
    <row r="21" spans="1:6" ht="15.95" customHeight="1" x14ac:dyDescent="0.25">
      <c r="A21" s="26" t="s">
        <v>63</v>
      </c>
      <c r="B21" s="1" t="s">
        <v>62</v>
      </c>
      <c r="C21" s="4" t="s">
        <v>64</v>
      </c>
      <c r="D21" s="10">
        <v>1.33</v>
      </c>
      <c r="E21" s="1" t="s">
        <v>65</v>
      </c>
      <c r="F21"/>
    </row>
    <row r="22" spans="1:6" ht="15.95" customHeight="1" x14ac:dyDescent="0.25">
      <c r="A22" s="26" t="s">
        <v>256</v>
      </c>
      <c r="B22" s="1" t="s">
        <v>62</v>
      </c>
      <c r="C22" s="4" t="s">
        <v>66</v>
      </c>
      <c r="D22" s="10">
        <v>3.59</v>
      </c>
      <c r="E22" s="1" t="s">
        <v>67</v>
      </c>
      <c r="F22"/>
    </row>
    <row r="23" spans="1:6" ht="15.95" customHeight="1" x14ac:dyDescent="0.25">
      <c r="A23" s="26" t="s">
        <v>68</v>
      </c>
      <c r="B23" s="1" t="s">
        <v>30</v>
      </c>
      <c r="C23" s="5" t="s">
        <v>69</v>
      </c>
      <c r="D23" s="10">
        <v>11.29</v>
      </c>
      <c r="E23" s="1" t="s">
        <v>70</v>
      </c>
      <c r="F23"/>
    </row>
    <row r="24" spans="1:6" ht="15.95" customHeight="1" x14ac:dyDescent="0.25">
      <c r="A24" s="26" t="s">
        <v>71</v>
      </c>
      <c r="B24" s="1" t="s">
        <v>30</v>
      </c>
      <c r="C24" s="4" t="s">
        <v>72</v>
      </c>
      <c r="D24" s="10">
        <v>19.12</v>
      </c>
      <c r="E24" s="1" t="s">
        <v>73</v>
      </c>
      <c r="F24"/>
    </row>
    <row r="25" spans="1:6" ht="15.95" customHeight="1" x14ac:dyDescent="0.25">
      <c r="A25" s="26" t="s">
        <v>74</v>
      </c>
      <c r="B25" s="1" t="s">
        <v>30</v>
      </c>
      <c r="C25" s="4" t="s">
        <v>75</v>
      </c>
      <c r="D25" s="10">
        <v>7.19</v>
      </c>
      <c r="E25" s="1" t="s">
        <v>76</v>
      </c>
      <c r="F25"/>
    </row>
    <row r="26" spans="1:6" ht="15.95" customHeight="1" x14ac:dyDescent="0.25">
      <c r="A26" s="26" t="s">
        <v>77</v>
      </c>
      <c r="B26" s="1" t="s">
        <v>23</v>
      </c>
      <c r="C26" s="4" t="s">
        <v>78</v>
      </c>
      <c r="D26" s="10">
        <v>1.99</v>
      </c>
      <c r="E26" s="1" t="s">
        <v>79</v>
      </c>
      <c r="F26"/>
    </row>
    <row r="27" spans="1:6" ht="15.95" customHeight="1" x14ac:dyDescent="0.25">
      <c r="A27" s="26" t="s">
        <v>257</v>
      </c>
      <c r="B27" s="1" t="s">
        <v>30</v>
      </c>
      <c r="C27" s="4" t="s">
        <v>80</v>
      </c>
      <c r="D27" s="10">
        <v>4.29</v>
      </c>
      <c r="E27" s="1" t="s">
        <v>81</v>
      </c>
      <c r="F27"/>
    </row>
    <row r="28" spans="1:6" ht="15.95" customHeight="1" x14ac:dyDescent="0.25">
      <c r="A28" s="26" t="s">
        <v>258</v>
      </c>
      <c r="B28" s="1" t="s">
        <v>30</v>
      </c>
      <c r="C28" s="4" t="s">
        <v>82</v>
      </c>
      <c r="D28" s="10">
        <v>4.29</v>
      </c>
      <c r="E28" s="1" t="s">
        <v>83</v>
      </c>
      <c r="F28"/>
    </row>
    <row r="29" spans="1:6" ht="15.95" customHeight="1" x14ac:dyDescent="0.25">
      <c r="A29" s="26" t="s">
        <v>259</v>
      </c>
      <c r="B29" s="1" t="s">
        <v>30</v>
      </c>
      <c r="C29" s="4" t="s">
        <v>84</v>
      </c>
      <c r="D29" s="10">
        <v>4.29</v>
      </c>
      <c r="E29" s="1" t="s">
        <v>85</v>
      </c>
      <c r="F29"/>
    </row>
    <row r="30" spans="1:6" ht="15.95" customHeight="1" x14ac:dyDescent="0.25">
      <c r="A30" s="26" t="s">
        <v>260</v>
      </c>
      <c r="B30" s="1" t="s">
        <v>23</v>
      </c>
      <c r="C30" s="4" t="s">
        <v>86</v>
      </c>
      <c r="D30" s="10">
        <v>23.95</v>
      </c>
      <c r="E30" s="1" t="s">
        <v>87</v>
      </c>
      <c r="F30"/>
    </row>
    <row r="31" spans="1:6" ht="15.95" customHeight="1" x14ac:dyDescent="0.25">
      <c r="A31" s="26" t="s">
        <v>261</v>
      </c>
      <c r="B31" s="1" t="s">
        <v>30</v>
      </c>
      <c r="C31" s="4" t="s">
        <v>88</v>
      </c>
      <c r="D31" s="10">
        <v>34.479999999999997</v>
      </c>
      <c r="E31" s="1" t="s">
        <v>89</v>
      </c>
      <c r="F31"/>
    </row>
    <row r="32" spans="1:6" ht="15.95" customHeight="1" x14ac:dyDescent="0.25">
      <c r="A32" s="26" t="s">
        <v>90</v>
      </c>
      <c r="B32" s="1" t="s">
        <v>30</v>
      </c>
      <c r="C32" s="4" t="s">
        <v>91</v>
      </c>
      <c r="D32" s="10">
        <v>40.49</v>
      </c>
      <c r="E32" s="1" t="s">
        <v>92</v>
      </c>
      <c r="F32"/>
    </row>
    <row r="33" spans="1:6" ht="15.95" customHeight="1" x14ac:dyDescent="0.25">
      <c r="A33" s="26" t="s">
        <v>93</v>
      </c>
      <c r="B33" s="1" t="s">
        <v>30</v>
      </c>
      <c r="C33" s="4" t="s">
        <v>94</v>
      </c>
      <c r="D33" s="10">
        <v>46.79</v>
      </c>
      <c r="E33" s="1" t="s">
        <v>95</v>
      </c>
      <c r="F33"/>
    </row>
    <row r="34" spans="1:6" ht="15.95" customHeight="1" x14ac:dyDescent="0.25">
      <c r="A34" s="26" t="s">
        <v>96</v>
      </c>
      <c r="B34" s="1" t="s">
        <v>30</v>
      </c>
      <c r="C34" s="4" t="s">
        <v>97</v>
      </c>
      <c r="D34" s="10">
        <v>6.39</v>
      </c>
      <c r="E34" s="1" t="s">
        <v>98</v>
      </c>
      <c r="F34"/>
    </row>
    <row r="35" spans="1:6" ht="15.95" customHeight="1" x14ac:dyDescent="0.25">
      <c r="A35" s="26" t="s">
        <v>99</v>
      </c>
      <c r="B35" s="1" t="s">
        <v>23</v>
      </c>
      <c r="C35" s="4" t="s">
        <v>100</v>
      </c>
      <c r="D35" s="10">
        <v>6.89</v>
      </c>
      <c r="E35" s="1" t="s">
        <v>101</v>
      </c>
      <c r="F35"/>
    </row>
    <row r="36" spans="1:6" ht="15.95" customHeight="1" x14ac:dyDescent="0.25">
      <c r="A36" s="26" t="s">
        <v>102</v>
      </c>
      <c r="B36" s="1" t="s">
        <v>30</v>
      </c>
      <c r="C36" s="4" t="s">
        <v>103</v>
      </c>
      <c r="D36" s="10">
        <v>12.03</v>
      </c>
      <c r="E36" s="1" t="s">
        <v>104</v>
      </c>
      <c r="F36"/>
    </row>
    <row r="37" spans="1:6" ht="15.95" customHeight="1" x14ac:dyDescent="0.25">
      <c r="A37" s="26" t="s">
        <v>105</v>
      </c>
      <c r="B37" s="1" t="s">
        <v>30</v>
      </c>
      <c r="C37" s="4" t="s">
        <v>106</v>
      </c>
      <c r="D37" s="10">
        <v>12.52</v>
      </c>
      <c r="E37" s="1" t="s">
        <v>107</v>
      </c>
      <c r="F37"/>
    </row>
    <row r="38" spans="1:6" ht="15.95" customHeight="1" x14ac:dyDescent="0.25">
      <c r="A38" s="26" t="s">
        <v>262</v>
      </c>
      <c r="B38" s="1" t="s">
        <v>30</v>
      </c>
      <c r="C38" s="4" t="s">
        <v>108</v>
      </c>
      <c r="D38" s="10">
        <v>25.63</v>
      </c>
      <c r="E38" s="1" t="s">
        <v>109</v>
      </c>
      <c r="F38"/>
    </row>
    <row r="39" spans="1:6" ht="15.95" customHeight="1" x14ac:dyDescent="0.25">
      <c r="A39" s="26" t="s">
        <v>110</v>
      </c>
      <c r="B39" s="1" t="s">
        <v>5</v>
      </c>
      <c r="C39" s="4" t="s">
        <v>111</v>
      </c>
      <c r="D39" s="10">
        <v>12.63</v>
      </c>
      <c r="E39" s="1" t="s">
        <v>112</v>
      </c>
      <c r="F39"/>
    </row>
    <row r="40" spans="1:6" ht="15.95" customHeight="1" x14ac:dyDescent="0.25">
      <c r="A40" s="26" t="s">
        <v>113</v>
      </c>
      <c r="B40" s="1" t="s">
        <v>5</v>
      </c>
      <c r="C40" s="4" t="s">
        <v>114</v>
      </c>
      <c r="D40" s="10">
        <v>18.649999999999999</v>
      </c>
      <c r="E40" s="1" t="s">
        <v>115</v>
      </c>
      <c r="F40"/>
    </row>
    <row r="41" spans="1:6" ht="15.95" customHeight="1" x14ac:dyDescent="0.25">
      <c r="A41" s="26" t="s">
        <v>116</v>
      </c>
      <c r="B41" s="1" t="s">
        <v>30</v>
      </c>
      <c r="C41" s="4" t="s">
        <v>117</v>
      </c>
      <c r="D41" s="10">
        <v>15.99</v>
      </c>
      <c r="E41" s="1" t="s">
        <v>118</v>
      </c>
      <c r="F41"/>
    </row>
    <row r="42" spans="1:6" ht="15.95" customHeight="1" x14ac:dyDescent="0.25">
      <c r="A42" s="27" t="s">
        <v>119</v>
      </c>
      <c r="B42" s="1" t="s">
        <v>23</v>
      </c>
      <c r="C42" s="4" t="s">
        <v>120</v>
      </c>
      <c r="D42" s="10">
        <f>11.49/12</f>
        <v>0.95750000000000002</v>
      </c>
      <c r="E42" s="1" t="s">
        <v>121</v>
      </c>
      <c r="F42"/>
    </row>
    <row r="43" spans="1:6" ht="15.95" customHeight="1" x14ac:dyDescent="0.25">
      <c r="A43" s="27" t="s">
        <v>122</v>
      </c>
      <c r="B43" s="1" t="s">
        <v>23</v>
      </c>
      <c r="C43" s="4" t="s">
        <v>123</v>
      </c>
      <c r="D43" s="10">
        <f>11.49/12</f>
        <v>0.95750000000000002</v>
      </c>
      <c r="E43" s="1" t="s">
        <v>124</v>
      </c>
      <c r="F43"/>
    </row>
    <row r="44" spans="1:6" ht="15.95" customHeight="1" x14ac:dyDescent="0.25">
      <c r="A44" s="27" t="s">
        <v>125</v>
      </c>
      <c r="B44" s="1" t="s">
        <v>23</v>
      </c>
      <c r="C44" s="4" t="s">
        <v>126</v>
      </c>
      <c r="D44" s="10">
        <f>11.49/12</f>
        <v>0.95750000000000002</v>
      </c>
      <c r="E44" s="1" t="s">
        <v>127</v>
      </c>
      <c r="F44"/>
    </row>
    <row r="45" spans="1:6" ht="15.95" customHeight="1" x14ac:dyDescent="0.25">
      <c r="A45" s="27" t="s">
        <v>128</v>
      </c>
      <c r="B45" s="1" t="s">
        <v>23</v>
      </c>
      <c r="C45" s="4" t="s">
        <v>129</v>
      </c>
      <c r="D45" s="10">
        <f>11.49/12</f>
        <v>0.95750000000000002</v>
      </c>
      <c r="E45" s="1" t="s">
        <v>130</v>
      </c>
      <c r="F45"/>
    </row>
    <row r="46" spans="1:6" ht="15.95" customHeight="1" x14ac:dyDescent="0.25">
      <c r="A46" s="26" t="s">
        <v>131</v>
      </c>
      <c r="B46" s="1" t="s">
        <v>23</v>
      </c>
      <c r="C46" s="4" t="s">
        <v>132</v>
      </c>
      <c r="D46" s="10">
        <v>0.4375</v>
      </c>
      <c r="E46" s="1" t="s">
        <v>133</v>
      </c>
      <c r="F46"/>
    </row>
    <row r="47" spans="1:6" ht="15.95" customHeight="1" x14ac:dyDescent="0.25">
      <c r="A47" s="26" t="s">
        <v>134</v>
      </c>
      <c r="B47" s="1" t="s">
        <v>23</v>
      </c>
      <c r="C47" s="4" t="s">
        <v>135</v>
      </c>
      <c r="D47" s="10">
        <f>4.44/12</f>
        <v>0.37000000000000005</v>
      </c>
      <c r="E47" s="1" t="s">
        <v>136</v>
      </c>
      <c r="F47"/>
    </row>
    <row r="48" spans="1:6" ht="15.95" customHeight="1" x14ac:dyDescent="0.25">
      <c r="A48" s="26" t="s">
        <v>137</v>
      </c>
      <c r="B48" s="1" t="s">
        <v>23</v>
      </c>
      <c r="C48" s="4" t="s">
        <v>138</v>
      </c>
      <c r="D48" s="10">
        <f>4.44/12</f>
        <v>0.37000000000000005</v>
      </c>
      <c r="E48" s="1" t="s">
        <v>139</v>
      </c>
      <c r="F48"/>
    </row>
    <row r="49" spans="1:6" ht="15.95" customHeight="1" x14ac:dyDescent="0.25">
      <c r="A49" s="26" t="s">
        <v>141</v>
      </c>
      <c r="B49" s="1" t="s">
        <v>140</v>
      </c>
      <c r="C49" s="4" t="s">
        <v>142</v>
      </c>
      <c r="D49" s="10">
        <f>1.2/12</f>
        <v>9.9999999999999992E-2</v>
      </c>
      <c r="E49" s="12" t="s">
        <v>143</v>
      </c>
      <c r="F49"/>
    </row>
    <row r="50" spans="1:6" ht="15.95" customHeight="1" x14ac:dyDescent="0.25">
      <c r="A50" s="26" t="s">
        <v>144</v>
      </c>
      <c r="B50" s="1" t="s">
        <v>140</v>
      </c>
      <c r="C50" s="4" t="s">
        <v>145</v>
      </c>
      <c r="D50" s="10">
        <f>2.64/12</f>
        <v>0.22</v>
      </c>
      <c r="E50" s="12" t="s">
        <v>146</v>
      </c>
      <c r="F50"/>
    </row>
    <row r="51" spans="1:6" ht="15.95" customHeight="1" x14ac:dyDescent="0.25">
      <c r="A51" s="26" t="s">
        <v>147</v>
      </c>
      <c r="B51" s="1" t="s">
        <v>140</v>
      </c>
      <c r="C51" s="4" t="s">
        <v>148</v>
      </c>
      <c r="D51" s="10">
        <f>3.89/12</f>
        <v>0.32416666666666666</v>
      </c>
      <c r="E51" s="12" t="s">
        <v>149</v>
      </c>
      <c r="F51"/>
    </row>
    <row r="52" spans="1:6" ht="15.95" customHeight="1" x14ac:dyDescent="0.25">
      <c r="A52" s="26" t="s">
        <v>150</v>
      </c>
      <c r="B52" s="1" t="s">
        <v>23</v>
      </c>
      <c r="C52" s="4" t="s">
        <v>151</v>
      </c>
      <c r="D52" s="10">
        <f>4.82/12</f>
        <v>0.40166666666666667</v>
      </c>
      <c r="E52" s="1" t="s">
        <v>152</v>
      </c>
      <c r="F52"/>
    </row>
    <row r="53" spans="1:6" ht="15.95" customHeight="1" x14ac:dyDescent="0.25">
      <c r="A53" s="26" t="s">
        <v>153</v>
      </c>
      <c r="B53" s="1" t="s">
        <v>23</v>
      </c>
      <c r="C53" s="4" t="s">
        <v>154</v>
      </c>
      <c r="D53" s="10">
        <f>9.03/12</f>
        <v>0.75249999999999995</v>
      </c>
      <c r="E53" s="1" t="s">
        <v>155</v>
      </c>
      <c r="F53"/>
    </row>
    <row r="54" spans="1:6" ht="15.95" customHeight="1" x14ac:dyDescent="0.25">
      <c r="A54" s="26" t="s">
        <v>156</v>
      </c>
      <c r="B54" s="1" t="s">
        <v>23</v>
      </c>
      <c r="C54" s="4" t="s">
        <v>157</v>
      </c>
      <c r="D54" s="10">
        <f>12.36/12</f>
        <v>1.03</v>
      </c>
      <c r="E54" s="1" t="s">
        <v>158</v>
      </c>
      <c r="F54"/>
    </row>
    <row r="55" spans="1:6" ht="15.95" customHeight="1" x14ac:dyDescent="0.25">
      <c r="A55" s="26" t="s">
        <v>263</v>
      </c>
      <c r="B55" s="1" t="s">
        <v>5</v>
      </c>
      <c r="C55" s="4" t="s">
        <v>159</v>
      </c>
      <c r="D55" s="10">
        <v>3.86</v>
      </c>
      <c r="E55" s="1" t="s">
        <v>160</v>
      </c>
      <c r="F55"/>
    </row>
    <row r="56" spans="1:6" ht="15.95" customHeight="1" x14ac:dyDescent="0.25">
      <c r="A56" s="26" t="s">
        <v>162</v>
      </c>
      <c r="B56" s="1" t="s">
        <v>161</v>
      </c>
      <c r="C56" s="4" t="s">
        <v>163</v>
      </c>
      <c r="D56" s="10">
        <v>5.53</v>
      </c>
      <c r="E56" s="1" t="s">
        <v>164</v>
      </c>
      <c r="F56"/>
    </row>
    <row r="57" spans="1:6" ht="15.95" customHeight="1" x14ac:dyDescent="0.25">
      <c r="A57" s="26" t="s">
        <v>165</v>
      </c>
      <c r="B57" s="1" t="s">
        <v>23</v>
      </c>
      <c r="C57" s="4" t="s">
        <v>166</v>
      </c>
      <c r="D57" s="10">
        <v>2.68</v>
      </c>
      <c r="E57" s="1" t="s">
        <v>167</v>
      </c>
      <c r="F57"/>
    </row>
    <row r="58" spans="1:6" ht="15.95" customHeight="1" x14ac:dyDescent="0.25">
      <c r="A58" s="26" t="s">
        <v>168</v>
      </c>
      <c r="B58" s="1" t="s">
        <v>140</v>
      </c>
      <c r="C58" s="4" t="s">
        <v>25</v>
      </c>
      <c r="D58" s="10">
        <v>0.79</v>
      </c>
      <c r="E58" s="1" t="s">
        <v>169</v>
      </c>
      <c r="F58"/>
    </row>
    <row r="59" spans="1:6" ht="15.95" customHeight="1" x14ac:dyDescent="0.25">
      <c r="A59" s="26" t="s">
        <v>171</v>
      </c>
      <c r="B59" s="1" t="s">
        <v>170</v>
      </c>
      <c r="C59" s="4" t="s">
        <v>172</v>
      </c>
      <c r="D59" s="10">
        <v>13.64</v>
      </c>
      <c r="E59" s="1" t="s">
        <v>173</v>
      </c>
      <c r="F59"/>
    </row>
    <row r="60" spans="1:6" ht="15.95" customHeight="1" x14ac:dyDescent="0.25">
      <c r="A60" s="26" t="s">
        <v>174</v>
      </c>
      <c r="B60" s="1" t="s">
        <v>170</v>
      </c>
      <c r="C60" s="4" t="s">
        <v>175</v>
      </c>
      <c r="D60" s="10">
        <v>14.99</v>
      </c>
      <c r="E60" s="1" t="s">
        <v>176</v>
      </c>
      <c r="F60"/>
    </row>
    <row r="61" spans="1:6" ht="15.95" customHeight="1" x14ac:dyDescent="0.25">
      <c r="A61" s="26" t="s">
        <v>177</v>
      </c>
      <c r="B61" s="1" t="s">
        <v>170</v>
      </c>
      <c r="C61" s="4" t="s">
        <v>178</v>
      </c>
      <c r="D61" s="10">
        <v>4.6900000000000004</v>
      </c>
      <c r="E61" s="1" t="s">
        <v>179</v>
      </c>
      <c r="F61"/>
    </row>
    <row r="62" spans="1:6" ht="15.95" customHeight="1" x14ac:dyDescent="0.25">
      <c r="A62" s="26" t="s">
        <v>180</v>
      </c>
      <c r="B62" s="1" t="s">
        <v>170</v>
      </c>
      <c r="C62" s="4" t="s">
        <v>181</v>
      </c>
      <c r="D62" s="10">
        <v>22.03</v>
      </c>
      <c r="E62" s="1" t="s">
        <v>182</v>
      </c>
      <c r="F62"/>
    </row>
    <row r="63" spans="1:6" ht="15.95" customHeight="1" x14ac:dyDescent="0.25">
      <c r="A63" s="26" t="s">
        <v>183</v>
      </c>
      <c r="B63" s="1" t="s">
        <v>170</v>
      </c>
      <c r="C63" s="4" t="s">
        <v>184</v>
      </c>
      <c r="D63" s="10">
        <v>15.56</v>
      </c>
      <c r="E63" s="1" t="s">
        <v>182</v>
      </c>
      <c r="F63"/>
    </row>
    <row r="64" spans="1:6" ht="15.95" customHeight="1" x14ac:dyDescent="0.25">
      <c r="A64" s="26" t="s">
        <v>264</v>
      </c>
      <c r="B64" s="1" t="s">
        <v>23</v>
      </c>
      <c r="C64" s="4" t="s">
        <v>185</v>
      </c>
      <c r="D64" s="10">
        <v>8.24</v>
      </c>
      <c r="E64" s="1" t="s">
        <v>186</v>
      </c>
      <c r="F64"/>
    </row>
    <row r="65" spans="1:6" ht="15.95" customHeight="1" x14ac:dyDescent="0.25">
      <c r="A65" s="26" t="s">
        <v>187</v>
      </c>
      <c r="B65" s="1" t="s">
        <v>170</v>
      </c>
      <c r="C65" s="4" t="s">
        <v>188</v>
      </c>
      <c r="D65" s="10">
        <v>0.85</v>
      </c>
      <c r="E65" s="1" t="s">
        <v>189</v>
      </c>
      <c r="F65"/>
    </row>
    <row r="66" spans="1:6" ht="15.95" customHeight="1" x14ac:dyDescent="0.25">
      <c r="A66" s="26" t="s">
        <v>190</v>
      </c>
      <c r="B66" s="1" t="s">
        <v>5</v>
      </c>
      <c r="C66" s="4" t="s">
        <v>191</v>
      </c>
      <c r="D66" s="10">
        <v>3.23</v>
      </c>
      <c r="E66" s="1" t="s">
        <v>192</v>
      </c>
      <c r="F66"/>
    </row>
    <row r="67" spans="1:6" ht="15.95" customHeight="1" x14ac:dyDescent="0.25">
      <c r="A67" s="26" t="s">
        <v>193</v>
      </c>
      <c r="B67" s="1" t="s">
        <v>5</v>
      </c>
      <c r="C67" s="4" t="s">
        <v>194</v>
      </c>
      <c r="D67" s="10">
        <v>1.0900000000000001</v>
      </c>
      <c r="E67" s="1" t="s">
        <v>195</v>
      </c>
      <c r="F67"/>
    </row>
    <row r="68" spans="1:6" ht="15.95" customHeight="1" x14ac:dyDescent="0.25">
      <c r="A68" s="26" t="s">
        <v>196</v>
      </c>
      <c r="B68" s="1" t="s">
        <v>23</v>
      </c>
      <c r="C68" s="4" t="s">
        <v>197</v>
      </c>
      <c r="D68" s="10">
        <v>0.79</v>
      </c>
      <c r="E68" s="1" t="s">
        <v>198</v>
      </c>
      <c r="F68"/>
    </row>
    <row r="69" spans="1:6" ht="15.95" customHeight="1" x14ac:dyDescent="0.25">
      <c r="A69" s="26" t="s">
        <v>199</v>
      </c>
      <c r="B69" s="1" t="s">
        <v>23</v>
      </c>
      <c r="C69" s="4" t="s">
        <v>200</v>
      </c>
      <c r="D69" s="10">
        <v>5.8</v>
      </c>
      <c r="E69" s="1" t="s">
        <v>201</v>
      </c>
      <c r="F69"/>
    </row>
    <row r="70" spans="1:6" ht="15.95" customHeight="1" x14ac:dyDescent="0.25">
      <c r="A70" s="26" t="s">
        <v>202</v>
      </c>
      <c r="B70" s="1" t="s">
        <v>23</v>
      </c>
      <c r="C70" s="4" t="s">
        <v>203</v>
      </c>
      <c r="D70" s="10">
        <v>1.02</v>
      </c>
      <c r="E70" s="1" t="s">
        <v>204</v>
      </c>
      <c r="F70"/>
    </row>
    <row r="71" spans="1:6" ht="15.95" customHeight="1" x14ac:dyDescent="0.25">
      <c r="A71" s="26" t="s">
        <v>205</v>
      </c>
      <c r="B71" s="1" t="s">
        <v>30</v>
      </c>
      <c r="C71" s="4" t="s">
        <v>206</v>
      </c>
      <c r="D71" s="10">
        <v>5.31</v>
      </c>
      <c r="E71" s="1" t="s">
        <v>207</v>
      </c>
      <c r="F71"/>
    </row>
    <row r="72" spans="1:6" ht="15.95" customHeight="1" x14ac:dyDescent="0.25">
      <c r="A72" s="26" t="s">
        <v>208</v>
      </c>
      <c r="B72" s="1" t="s">
        <v>23</v>
      </c>
      <c r="C72" s="4" t="s">
        <v>209</v>
      </c>
      <c r="D72" s="10">
        <v>0.34</v>
      </c>
      <c r="E72" s="1" t="s">
        <v>210</v>
      </c>
      <c r="F72"/>
    </row>
    <row r="73" spans="1:6" ht="15.95" customHeight="1" x14ac:dyDescent="0.25">
      <c r="A73" s="26" t="s">
        <v>211</v>
      </c>
      <c r="B73" s="1" t="s">
        <v>23</v>
      </c>
      <c r="C73" s="4" t="s">
        <v>212</v>
      </c>
      <c r="D73" s="10">
        <v>5.89</v>
      </c>
      <c r="E73" s="1" t="s">
        <v>213</v>
      </c>
      <c r="F73"/>
    </row>
    <row r="74" spans="1:6" ht="15.95" customHeight="1" x14ac:dyDescent="0.25">
      <c r="A74" s="26" t="s">
        <v>214</v>
      </c>
      <c r="B74" s="1" t="s">
        <v>30</v>
      </c>
      <c r="C74" s="4" t="s">
        <v>215</v>
      </c>
      <c r="D74" s="10">
        <v>0.89</v>
      </c>
      <c r="E74" s="1" t="s">
        <v>216</v>
      </c>
      <c r="F74"/>
    </row>
    <row r="75" spans="1:6" ht="15.95" customHeight="1" x14ac:dyDescent="0.25">
      <c r="A75" s="26" t="s">
        <v>217</v>
      </c>
      <c r="B75" s="1" t="s">
        <v>23</v>
      </c>
      <c r="C75" s="4" t="s">
        <v>218</v>
      </c>
      <c r="D75" s="10">
        <v>1.65</v>
      </c>
      <c r="E75" s="1" t="s">
        <v>219</v>
      </c>
      <c r="F75"/>
    </row>
    <row r="76" spans="1:6" ht="15.95" customHeight="1" x14ac:dyDescent="0.25">
      <c r="A76" s="26" t="s">
        <v>220</v>
      </c>
      <c r="B76" s="1" t="s">
        <v>23</v>
      </c>
      <c r="C76" s="4" t="s">
        <v>221</v>
      </c>
      <c r="D76" s="10">
        <v>2.734</v>
      </c>
      <c r="E76" s="1" t="s">
        <v>222</v>
      </c>
      <c r="F76"/>
    </row>
    <row r="77" spans="1:6" ht="15.95" customHeight="1" x14ac:dyDescent="0.25">
      <c r="A77" s="26" t="s">
        <v>224</v>
      </c>
      <c r="B77" s="1" t="s">
        <v>223</v>
      </c>
      <c r="C77" s="4" t="s">
        <v>225</v>
      </c>
      <c r="D77" s="10">
        <f>17.53/6</f>
        <v>2.9216666666666669</v>
      </c>
      <c r="E77" s="12" t="s">
        <v>226</v>
      </c>
      <c r="F77"/>
    </row>
    <row r="78" spans="1:6" ht="15.95" customHeight="1" x14ac:dyDescent="0.25">
      <c r="A78" s="26" t="s">
        <v>227</v>
      </c>
      <c r="B78" s="1" t="s">
        <v>223</v>
      </c>
      <c r="C78" s="4" t="s">
        <v>228</v>
      </c>
      <c r="D78" s="10">
        <f>24.28/10</f>
        <v>2.4279999999999999</v>
      </c>
      <c r="E78" s="12" t="s">
        <v>229</v>
      </c>
      <c r="F78"/>
    </row>
    <row r="79" spans="1:6" ht="15.95" customHeight="1" x14ac:dyDescent="0.25">
      <c r="A79" s="28" t="s">
        <v>230</v>
      </c>
      <c r="B79" s="1" t="s">
        <v>223</v>
      </c>
      <c r="C79" s="14" t="s">
        <v>231</v>
      </c>
      <c r="D79" s="10">
        <v>5.2830000000000004</v>
      </c>
      <c r="E79" s="1" t="s">
        <v>232</v>
      </c>
      <c r="F7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Supply Request</vt:lpstr>
      <vt:lpstr>Catalog</vt:lpstr>
      <vt:lpstr>'Supply Request'!Print_Area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Berry</dc:creator>
  <cp:lastModifiedBy>John Berry</cp:lastModifiedBy>
  <cp:lastPrinted>2023-03-27T14:45:30Z</cp:lastPrinted>
  <dcterms:created xsi:type="dcterms:W3CDTF">2022-11-29T14:41:11Z</dcterms:created>
  <dcterms:modified xsi:type="dcterms:W3CDTF">2023-06-12T10:39:47Z</dcterms:modified>
</cp:coreProperties>
</file>